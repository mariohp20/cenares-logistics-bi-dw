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Requerimientos" sheetId="2" r:id="rId6"/>
    <sheet state="visible" name="Registro_Riesgos" sheetId="3" r:id="rId7"/>
    <sheet state="visible" name="Plan de Actividades" sheetId="4" r:id="rId8"/>
    <sheet state="visible" name="Gantt  Cronograma" sheetId="5" r:id="rId9"/>
    <sheet state="visible" name="HU" sheetId="6" r:id="rId10"/>
  </sheets>
  <definedNames/>
  <calcPr/>
</workbook>
</file>

<file path=xl/sharedStrings.xml><?xml version="1.0" encoding="utf-8"?>
<sst xmlns="http://schemas.openxmlformats.org/spreadsheetml/2006/main" count="564" uniqueCount="289">
  <si>
    <t>ID</t>
  </si>
  <si>
    <t>Nombre de la Historia</t>
  </si>
  <si>
    <t>N°</t>
  </si>
  <si>
    <t>Prioridad</t>
  </si>
  <si>
    <t>Story Points</t>
  </si>
  <si>
    <t>Riesgo / Problema</t>
  </si>
  <si>
    <t>Épica</t>
  </si>
  <si>
    <t>Nombre del Requerimiento</t>
  </si>
  <si>
    <t>Sprint Asignado</t>
  </si>
  <si>
    <t>Impacto</t>
  </si>
  <si>
    <t>Descripción Estratégica</t>
  </si>
  <si>
    <t>Estado</t>
  </si>
  <si>
    <t>Actividad / Asignación</t>
  </si>
  <si>
    <t>Meta / Impacto Institucional</t>
  </si>
  <si>
    <t>RS</t>
  </si>
  <si>
    <t>Plan de Mitigación / Solución Aplicada</t>
  </si>
  <si>
    <t>RN</t>
  </si>
  <si>
    <t>Responsable</t>
  </si>
  <si>
    <t>Autor- Rol</t>
  </si>
  <si>
    <t>Comentarios</t>
  </si>
  <si>
    <t>Capacidad Técnica del Sistema</t>
  </si>
  <si>
    <t>R-01</t>
  </si>
  <si>
    <t>Inicio</t>
  </si>
  <si>
    <t>HU-00a</t>
  </si>
  <si>
    <t>Componente / Stack Relacionado</t>
  </si>
  <si>
    <t>Corrupción Estructural CSV: Saltos de línea (CRLF) en campo OBSERVACIONES.</t>
  </si>
  <si>
    <t>Levantamiento de requerimientos y Product Backlog</t>
  </si>
  <si>
    <t>Fin</t>
  </si>
  <si>
    <t>RN-01</t>
  </si>
  <si>
    <t>Muy Alta</t>
  </si>
  <si>
    <t>Alto (Bloqueante)</t>
  </si>
  <si>
    <t>Solucionado</t>
  </si>
  <si>
    <t>Monitoreo Estratégico de Disponibilidad de RES</t>
  </si>
  <si>
    <t>E0 — Planificación y Arquitectura</t>
  </si>
  <si>
    <t>Script Python (limpieza_maestra.py) con Regex para unir filas rotas antes de la ingesta en Pentaho.</t>
  </si>
  <si>
    <t>Sprint 0</t>
  </si>
  <si>
    <t>Khalep</t>
  </si>
  <si>
    <t>Completo</t>
  </si>
  <si>
    <t>Monitorear de forma centralizada las brechas de desabastecimiento de Recursos Estratégicos en Salud a nivel nacional.</t>
  </si>
  <si>
    <t>Elevar de forma medible la disponibilidad nacional desde el 39% actual hacia la meta institucional del 85% (Alineado a la AEI.03.01 del POI).</t>
  </si>
  <si>
    <t>RS-01</t>
  </si>
  <si>
    <t>Se tuvo correccion del profesor para el mejoramiento de este, se resolvio ese mismo dia para seguir el cronograma.</t>
  </si>
  <si>
    <t>Ingesta Automatizada de Fuentes Heterogéneas</t>
  </si>
  <si>
    <t>El sistema debe ser capaz de extraer, limpiar y unificar de forma automatizada los volcados periódicos de los datasets de PECOSAS, Distribución CD1 y el Directorio Nacional RENIPRESS</t>
  </si>
  <si>
    <t>Despliegue de instancia PostgreSQL.</t>
  </si>
  <si>
    <t>Python + Pentaho Data Integration</t>
  </si>
  <si>
    <t>R-02</t>
  </si>
  <si>
    <t>G. Barrantes - Data Architect</t>
  </si>
  <si>
    <t>Notación Científica en Llaves: Códigos SIGA colapsados a formato exponencial.</t>
  </si>
  <si>
    <t>RN-02</t>
  </si>
  <si>
    <t>Medio</t>
  </si>
  <si>
    <t>Protección Patrimonial y Control de Cadena de Frío</t>
  </si>
  <si>
    <t>Priorizar el control y la supervisión del transporte de productos termosensibles de alto costo (vacunas y medicamentos oncológicos).</t>
  </si>
  <si>
    <t>HU-00b</t>
  </si>
  <si>
    <t>Minimizar las mermas económicas y asegurar la calidad y eficacia sanitaria del insumo médico entregado al ciudadano en regiones críticas.</t>
  </si>
  <si>
    <t>Configuración de metadatos en Select values para forzar formato numérico (#) eliminando notación "E".</t>
  </si>
  <si>
    <t>Diseño de arquitectura dimensional (Kimball)</t>
  </si>
  <si>
    <t>RS-02</t>
  </si>
  <si>
    <t>Arquitectura Desacoplada en Capas (Data Stage)</t>
  </si>
  <si>
    <t>El sistema debe implementar una Staging Area física intermedia como zona de aterrizaje segura para aislar los procesos de calidad antes de la estructuración del Data Mart analítico.</t>
  </si>
  <si>
    <t>PostgreSQL (Tabla intermedia independiente )</t>
  </si>
  <si>
    <t>R-03</t>
  </si>
  <si>
    <t>RN-03</t>
  </si>
  <si>
    <t>Auditoría y Evaluación de Proveedores Logísticos</t>
  </si>
  <si>
    <t>Coordenadas Invertidas: Columnas NORTE/ESTE etiquetadas erróneamente (Lat/Lon).</t>
  </si>
  <si>
    <t>Completado</t>
  </si>
  <si>
    <t>Alto</t>
  </si>
  <si>
    <t>Evaluar el desempeño operativo, cumplimiento de plazos y niveles de servicio de los operadores logísticos tercerizados.</t>
  </si>
  <si>
    <t>Detectar cuellos de botella geográficos por ruta y optimizar la negociación de contratos públicos basados en métricas exactas de rendimiento.</t>
  </si>
  <si>
    <t>Mapeo documentado; se invertirá en el modelo semántico de Power BI durante el Sprint 2.</t>
  </si>
  <si>
    <t>RS-03</t>
  </si>
  <si>
    <t>Frank</t>
  </si>
  <si>
    <t>Segmentación e Imputación Lógica de Datos</t>
  </si>
  <si>
    <t>Extracción de CSVs y perfilamiento inicial</t>
  </si>
  <si>
    <t>El sistema debe ejecutar transformaciones de tipo Split Fields para estandarizar categorías logísticas e imputar automáticamente valores nulos para identificar la carga seca de la termosensible.</t>
  </si>
  <si>
    <t>El diagrama de Estrella formulado por el Data Architect, fue aprobado por todos para servirnos como guia.</t>
  </si>
  <si>
    <t>Pentaho Data Integration (Pasos Split Fields y Filter Rows).</t>
  </si>
  <si>
    <t>K. Velarde - Data Engineer</t>
  </si>
  <si>
    <t>R-04</t>
  </si>
  <si>
    <t>Formatos de Fecha Inválidos: Infiltración de números de serie (Excel) en lugar de fechas en campo FECHAPECOSA.</t>
  </si>
  <si>
    <t>RN-04</t>
  </si>
  <si>
    <t>HU-01</t>
  </si>
  <si>
    <t>Gestión Preventiva de Riesgos de Desabastecimiento</t>
  </si>
  <si>
    <t>Unificación de fuentes de datos CSV</t>
  </si>
  <si>
    <t>Implementación de filtro Regex (^[0-9]{1,2}/[0-9]{1,2}/[0-9]{4}$) en Filter rows para desechar filas corruptas.</t>
  </si>
  <si>
    <t>Transicionar de un modelo logístico reactivo ante incidentes consumados a un modelo predictivo y proactivo dentro de la Dirección de Almacén y Distribución (DAD).</t>
  </si>
  <si>
    <t>Anticipar escenarios de desabastecimiento e interrupciones en el flujo de distribución antes de que la carga salga del almacén central.</t>
  </si>
  <si>
    <t>RS-04</t>
  </si>
  <si>
    <t>E1 — Calidad y Disponibilidad de Datos</t>
  </si>
  <si>
    <t>Sprint 1</t>
  </si>
  <si>
    <t>Motor de Cálculo Dimensional Semántico</t>
  </si>
  <si>
    <t>R-05</t>
  </si>
  <si>
    <t>Capacidad para procesar agregaciones complejas y lógicas de negocio, calculando de forma exacta el Lead Time logístico (diferencia temporal entre requerimiento y entrega física).</t>
  </si>
  <si>
    <t>Conflicto de Tipado (String vs Integer): Incompatibilidad en campo es_refrigerado al cargar en PostgreSQL.</t>
  </si>
  <si>
    <t>Transformación Split Fields (Carga termosensible).</t>
  </si>
  <si>
    <t>PostgreSQL / Expresiones DAX en Microsoft Power BI.</t>
  </si>
  <si>
    <t>Los datos de CENARES/PECOSAS ahora son consumibles.</t>
  </si>
  <si>
    <t>RN-05</t>
  </si>
  <si>
    <t>Conversión forzada a Integer en la pestaña Meta-data del paso Select values final previo al Table output.</t>
  </si>
  <si>
    <t>Gobernanza Analítica y Rendición de Cuentas</t>
  </si>
  <si>
    <t>Centralizar y unificar los registros históricos que actualmente se encuentran fragmentados en archivos planos aislados.</t>
  </si>
  <si>
    <t>HU-02</t>
  </si>
  <si>
    <t>Proveer una base única de verdad auditable que sustente los reportes institucionales ante la Contraloría General, el MINSA y organismos internacionales (OPS, UNICEF).</t>
  </si>
  <si>
    <t>Segmentación automática de productos refrigerados (Split Fields)</t>
  </si>
  <si>
    <t>RS-05</t>
  </si>
  <si>
    <t>Alta</t>
  </si>
  <si>
    <t>R-06</t>
  </si>
  <si>
    <t>Módulo de Clasificación Predictiva Avanzada</t>
  </si>
  <si>
    <t>Desconexión de Destino ETL: Falla de ingesta en Pentaho por eliminación de la base de datos temporal (db_cenares_datamart).</t>
  </si>
  <si>
    <t>El sistema debe integrar un algoritmo entrenado de Machine Learning que calcule de forma matemática la probabilidad porcentual de retraso crítico basado en combinaciones históricas (Mes + Ruta + Proveedor).</t>
  </si>
  <si>
    <t>ETL: Normalización de registros y corrección de saltos de línea</t>
  </si>
  <si>
    <t>Python (Librerías Scikit-Learn y Pandas unificadas en el flujo).</t>
  </si>
  <si>
    <t>F. Gutierrez - Data QA</t>
  </si>
  <si>
    <t>RS-06</t>
  </si>
  <si>
    <t>Actualización de credenciales y reconfiguración de la cadena de conexión en Spoon apuntando al nuevo entorno definitivo (db_cenares_dw).</t>
  </si>
  <si>
    <t>La lógica de unión (Join) y limpieza (Regex) cumple con los criterios de aceptación definidos.</t>
  </si>
  <si>
    <t>Interfaz Visual Ejecutiva y Multidimensional</t>
  </si>
  <si>
    <t>K. Velarde</t>
  </si>
  <si>
    <t>El sistema debe proveer dashboards interactivos de navegación rápida (&lt; 3 segundos) con mapas de calor georreferenciados y alertas visuales cuando el tiempo de tránsito supere las 36 horas críticas.</t>
  </si>
  <si>
    <t>Microsoft Power BI (Capa analítica final para la toma de decisiones).</t>
  </si>
  <si>
    <t>R-07</t>
  </si>
  <si>
    <t>HU-03</t>
  </si>
  <si>
    <t>Estandarización de formatos y calidad de datos</t>
  </si>
  <si>
    <t>Ambigüedad Espacial en Geocodificación: El motor Azure Maps ubicó departamentos peruanos homónimos en el extranjero (ej. Amazonas en Brasil).</t>
  </si>
  <si>
    <t>Creación de una columna calculada con DAX en Power BI para concatenar el contexto espacial (departamento &amp; ", Perú") y tipificación como "Estado/Provincia".</t>
  </si>
  <si>
    <t>P. Llamocca</t>
  </si>
  <si>
    <t>Autor - Rol</t>
  </si>
  <si>
    <t>El componente de "Error Handling" ahora desvía automáticamente las filas inválidas sin detener la ejecución del pipeline.</t>
  </si>
  <si>
    <t>R-08</t>
  </si>
  <si>
    <t>Riesgo de Gobernanza en SLA: Simulación inicial del Lead Time generaba un sesgo del 100% en las alertas (Semáforo irreal).</t>
  </si>
  <si>
    <t>HU-04</t>
  </si>
  <si>
    <t>Refactorización del script SQL reemplazando datos simulados por el cálculo exacto (fecha_pecosa - fecha_creacion_registro) y limpieza de la memoria caché en Power Query.</t>
  </si>
  <si>
    <t>Dashboard de volumen de despachos por región</t>
  </si>
  <si>
    <t>G. Barrantes</t>
  </si>
  <si>
    <t>Ingeniería Inversa y Cleansing de Datos en Python (Mitigación de bloqueo).</t>
  </si>
  <si>
    <t>E2 — Monitoreo y Visualización Logística</t>
  </si>
  <si>
    <t>Sprint 2</t>
  </si>
  <si>
    <t>Khalep Velarde - Data Engineer</t>
  </si>
  <si>
    <t>R-09</t>
  </si>
  <si>
    <t>Ejecución fragmentada del Pipeline: Riesgo de error humano al ejecutar manualmente Python, Pentaho y SQL por separado.</t>
  </si>
  <si>
    <t>Mapa geográfico renderizado en Power BI con datos validados a nivel nacional.</t>
  </si>
  <si>
    <t>Plan para Semana 6: Encapsular el script Python, la transformación .ktr y los scripts DML dentro de un Job Maestro (.kjb) para su ejecución desatendida.</t>
  </si>
  <si>
    <t>Todo el equipo</t>
  </si>
  <si>
    <t>HU-05</t>
  </si>
  <si>
    <t>Monitoreo de Lead Time por ruta y proveedor</t>
  </si>
  <si>
    <t>Auditoría de calidad de datos y verificación de integridad estructural (UTF-8).</t>
  </si>
  <si>
    <t>Frank Gutierrez - Data QA</t>
  </si>
  <si>
    <t>Semáforo implementado exitosamente evaluando el tiempo de tránsito por proveedor.</t>
  </si>
  <si>
    <t>HU-06</t>
  </si>
  <si>
    <t>Análisis estacional de despachos refrigerados</t>
  </si>
  <si>
    <t>Media</t>
  </si>
  <si>
    <t>Actualización de script DDL y despliegue del Data Mart definitivo en PostgreSQL.</t>
  </si>
  <si>
    <t>Segmentación temporal por cadena de frío validada y visualizada en Power BI</t>
  </si>
  <si>
    <t>HU-07</t>
  </si>
  <si>
    <t>Reporte exportable de KPIs para rendición de cuentas</t>
  </si>
  <si>
    <t>Refactorización del flujo ETL en Pentaho e ingesta de datos curados (_FINAL.csv).</t>
  </si>
  <si>
    <t>Plantilla ejecutiva en PDF y tablas dinámicas configuradas para exportación directa de métricas clave</t>
  </si>
  <si>
    <t>HU-08</t>
  </si>
  <si>
    <t>Clasificación automática de probabilidad de retraso crítico por despacho</t>
  </si>
  <si>
    <t>E3 — Predicción de Riesgo de Desabastecimiento y Retrasos</t>
  </si>
  <si>
    <t>Sprint 3</t>
  </si>
  <si>
    <t>Validación de métricas post-carga y cierre formal del Sprint 1.</t>
  </si>
  <si>
    <t>R. Astorga - Product Owner</t>
  </si>
  <si>
    <t>Modelo predictivo integrado al pipeline; inyecta exitosamente el score riesgo_sal en la base de datos analítica</t>
  </si>
  <si>
    <t>HU-09</t>
  </si>
  <si>
    <t>Identificación de variables predictivas para el riesgo de desabastecimiento</t>
  </si>
  <si>
    <t>Feature engineering y matriz de correlación completadas; variables críticas (proveedor, ruta, lote) seleccionadas para el modelo.</t>
  </si>
  <si>
    <t>HU-10</t>
  </si>
  <si>
    <t>Estimación de probabilidad de retraso logístico por cmbinación de variables (Ruta/Més/Proveedor)</t>
  </si>
  <si>
    <t>Lógica de inferencia multi-variable probada con éxito</t>
  </si>
  <si>
    <t>Refinamiento de la arquitectura: Creación de db_cenares_bi con separación lógica de esquemas (staging y datamart).</t>
  </si>
  <si>
    <t>G. Barrantes (Data Architect)</t>
  </si>
  <si>
    <t>CRONOGRAMA GANTT — Sistema BI CENARES (AEI.03.01) | Mayo – Julio 2026</t>
  </si>
  <si>
    <t>Cierre técnico de la capa Staging: Validación del ETL final e inserción de registros limpios</t>
  </si>
  <si>
    <t>Título</t>
  </si>
  <si>
    <t>F. Gutierrez (Data QA)</t>
  </si>
  <si>
    <t>Tarea / Entregable</t>
  </si>
  <si>
    <t>Historia de Usuario</t>
  </si>
  <si>
    <t>Criterios de aceptación</t>
  </si>
  <si>
    <t>Sprint</t>
  </si>
  <si>
    <t>Sprint 0
 Planificación y Arquitectura</t>
  </si>
  <si>
    <t>Sprint 1
 Ingeniería de Datos (ETL)</t>
  </si>
  <si>
    <t>Levantamiento de requerimientos y definición del Product Backlog</t>
  </si>
  <si>
    <t>Como Scrum Master del equipo BI, quiero documentar formalmente todos los requerimientos del negocio en HU con criterios de aceptación y organizarlos en un Product Backlog priorizado, para contar con una base de trabajo validada antes de iniciar el desarrollo técnico.</t>
  </si>
  <si>
    <t>Sprint 2
 Capa Analítica (Power BI)</t>
  </si>
  <si>
    <t>• Se documentan al menos 10 HU con título, descripción y criterios. • El backlog está priorizado por valor de negocio y dependencia técnica. • El backlog es gestionado en el tablero Jira.</t>
  </si>
  <si>
    <t>Carga física del Data Mart: Ejecución DDL/DML para materializar las 6 dimensiones y la Fact Table en PostgreSQL.</t>
  </si>
  <si>
    <t>Sprint 3
 Analítica Predictiva y Despliegue</t>
  </si>
  <si>
    <t>K. Velarde (Data Engineer)</t>
  </si>
  <si>
    <t>Semana →</t>
  </si>
  <si>
    <t>Diseño de la arquitectura dimensional del Data Mart (Kimball)</t>
  </si>
  <si>
    <t>Sem 1</t>
  </si>
  <si>
    <t>Sem 2</t>
  </si>
  <si>
    <t>Como Database Architect del equipo BI, quiero diseñar el modelo estrella Kimball antes de crear cualquier tabla en PostgreSQL, para asegurar que la estructura soporte los dashboards de Power BI y el modelo predictivo de ML.</t>
  </si>
  <si>
    <t>Sem 3</t>
  </si>
  <si>
    <t>Sem 4</t>
  </si>
  <si>
    <t>• El modelo estrella documenta Hechos_Logistica y sus 6 dimensiones. • Se especifican métricas y atributos principales de cada dimensión. • El diagrama está aprobado por el Product Owner antes del Sprint 1.</t>
  </si>
  <si>
    <t>Sem 5</t>
  </si>
  <si>
    <t>Sem 6</t>
  </si>
  <si>
    <t>Sem 7</t>
  </si>
  <si>
    <t>Integración Analítica: Conexión Import entre Power BI y PostgreSQL validando el modelo de relaciones 1:*.</t>
  </si>
  <si>
    <t>Sem 8</t>
  </si>
  <si>
    <t>ID | Sprint | Descripción de la tarea</t>
  </si>
  <si>
    <t>Como Analista de Datos del equipo BI, quiero extraer y unificar automáticamente los datasets PECOSA 2023, Dataset_CD1 y RENIPRESS 2026 desde los archivos CSV, para contar con una fuente de datos consolidada y libre de duplicados como insumo del Data Mart.</t>
  </si>
  <si>
    <t>• Los datasets se integran en un único flujo ETL en Pentaho. • No existen registros duplicados por clave de despacho. • El proceso es reproducible y documentado.</t>
  </si>
  <si>
    <t>J</t>
  </si>
  <si>
    <t>V</t>
  </si>
  <si>
    <t>L</t>
  </si>
  <si>
    <t>M</t>
  </si>
  <si>
    <t>X</t>
  </si>
  <si>
    <t>Desarrollo de HU-04: Dashboard de volumen con corrección de geocodificación mediante DAX.</t>
  </si>
  <si>
    <t>Como Analista de Datos del equipo BI, quiero que el sistema identifique y separe automáticamente los productos refrigerados de los de carga seca mediante Split Fields, para segmentar correctamente los análisis de cadena de frío sin intervención manual.</t>
  </si>
  <si>
    <t>P. Llamocca (BI Developer)</t>
  </si>
  <si>
    <t>• La columna "Tipo de Almacén" queda en "REFRIGERADO" o "NO REFRIGERADO". • Los ~60,000 registros sin valor reciben la imputación "NO REFRIGERADO". • El flujo valida el resultado con un conteo por categoría.</t>
  </si>
  <si>
    <t>Levantamiento requerimientos y Product Backlog</t>
  </si>
  <si>
    <t>Como Analista de Datos del equipo BI, quiero que el sistema estandarice todos los formatos de fecha, texto y valores numéricos, para garantizar la integridad referencial al cargar los datos en el Data Mart PostgreSQL.</t>
  </si>
  <si>
    <t>• Todas las fechas siguen el formato YYYY-MM-DD. • Los campos de texto están normalizados en mayúsculas sin caracteres especiales. • Cero errores de tipo de dato al cargar a PostgreSQL.</t>
  </si>
  <si>
    <t>Desarrollo de HU-05: Implementación de regla de negocio y semáforo condicional para el Lead Time Interno.</t>
  </si>
  <si>
    <t>Diseño arquitectura dimensional (Kimball)</t>
  </si>
  <si>
    <t>Como Directivo de la DAD, quiero visualizar en un dashboard el volumen de despachos por región y tipo de producto, para monitorear el flujo de abastecimiento y evitar cuellos de botella que pongan en riesgo la meta del 85% (AEI.03.01).</t>
  </si>
  <si>
    <t>• Muestra un mapa geográfico del Perú con volumen por región. • Existen filtros por fecha, tipo de producto y proveedor. • Los datos se refrescan desde PostgreSQL automáticamente.</t>
  </si>
  <si>
    <t>PB-03</t>
  </si>
  <si>
    <t>Definición stack técnico (Pentaho, PostgreSQL, Power BI, Python)</t>
  </si>
  <si>
    <t>Como Directivo de la DAD, quiero ver el tiempo promedio de tránsito (Lead Time) por ruta y proveedor logístico, para identificar cuellos de botella y tomar decisiones correctivas antes de autorizar nuevos despachos críticos.</t>
  </si>
  <si>
    <t>• El KPI "Tiempo Promedio de Tránsito" es visible y segmentable. • Las rutas que superan las 36 horas se resaltan visualmente. • El cálculo es consistente con las fechas del Data Mart.</t>
  </si>
  <si>
    <t>M0</t>
  </si>
  <si>
    <t>Entrega: Informe Plan General + PPT</t>
  </si>
  <si>
    <t>◆</t>
  </si>
  <si>
    <t>PB-04</t>
  </si>
  <si>
    <t>Extracción y perfilamiento CSV fuente (PECOSA, CD1, IPRESS)</t>
  </si>
  <si>
    <t>Como Director de Programación de CENARES, quiero analizar el comportamiento estacional de los despachos refrigerados por mes y región, para planificar la capacidad logística en periodos de mayor riesgo térmico.</t>
  </si>
  <si>
    <t>PB-05</t>
  </si>
  <si>
    <t>Desarrollo flujo Split Fields en Pentaho</t>
  </si>
  <si>
    <t>• Incluye vista de tendencia mensual y trimestral. • Permite comparar rendimiento entre distintas IPRESS. • Los filtros aíslan únicamente productos de cadena de frío.</t>
  </si>
  <si>
    <t>PB-06</t>
  </si>
  <si>
    <t>Imputación nulos y Join con directorio IPRESS</t>
  </si>
  <si>
    <t>Como Alta Dirección del MINSA, quiero acceder a métricas consolidadas de KPIs exportables, para sustentar la rendición de cuentas sobre la AEI.03.01 ante la Contraloría y organismos internacionales (OPS, UNICEF).</t>
  </si>
  <si>
    <t>PB-07</t>
  </si>
  <si>
    <t>Implementación Data Mart en PostgreSQL (tablas y dimensiones)</t>
  </si>
  <si>
    <t>• Existe un reporte exportable con KPIs principales (% carga refrigerada, Wastage Rate, % entregas a tiempo). • Los datos son trazables hasta el registro fuente del Data Mart.</t>
  </si>
  <si>
    <t>PB-08</t>
  </si>
  <si>
    <t>E3 — Predicción de Riesgo en Cadena de Frío</t>
  </si>
  <si>
    <t>Pruebas de integridad referencial y validación ETL</t>
  </si>
  <si>
    <t>Clasificación automática de riesgo por despacho refrigerado</t>
  </si>
  <si>
    <t>Como Directivo de la DAD, quiero que el sistema clasifique automáticamente cada despacho refrigerado como riesgo alto o bajo antes de ser autorizado, para anticiparme a rupturas de cadena de frío y tomar medidas preventivas oportunas.</t>
  </si>
  <si>
    <t>M1</t>
  </si>
  <si>
    <t>Entrega: Flujos ETL + Data Mart validado en PostgreSQL</t>
  </si>
  <si>
    <t>• El modelo ML clasifica con precisión mínima del 75%. • Variables de entrada: destino, proveedor, mes y tiempo estimado. • El resultado (RIESGO ALTO/BAJO) es visible en Power BI.</t>
  </si>
  <si>
    <t>PB-09</t>
  </si>
  <si>
    <t>Dashboard volumen despachos con mapa geográfico</t>
  </si>
  <si>
    <t>Identificación de variables críticas de riesgo logístico</t>
  </si>
  <si>
    <t>Como Data Scientist del equipo BI, quiero identificar las variables más influyentes en la predicción de demoras críticas, para documentar los factores de riesgo y dar recomendaciones concretas a la DAD.</t>
  </si>
  <si>
    <t>• El modelo genera un ranking de importancia de variables (feature importance). • Se documentan al menos 3 factores de riesgo relevantes. • Los resultados están incluidos en el informe técnico final.</t>
  </si>
  <si>
    <t>PB-10</t>
  </si>
  <si>
    <t>KPI Lead Time con alerta visual (umbral 36 horas)</t>
  </si>
  <si>
    <t>PB-11</t>
  </si>
  <si>
    <t>Vista análisis estacional de despachos refrigerados</t>
  </si>
  <si>
    <t>Estimación de probabilidad de retraso crítico por combinación de variables.</t>
  </si>
  <si>
    <t>Como Alta Dirección del MINSA, quiero que el sistema estime la probabilidad de falla térmica para combinaciones críticas de variables (destino + mes + proveedor), para diseñar políticas preventivas basadas en evidencia cuantitativa.</t>
  </si>
  <si>
    <t>• Permite consultar riesgo para combinaciones específicas de variables. • Los resultados se expresan como probabilidad porcentual. • El modelo está entrenado con datos históricos reales de CENARES 2023.</t>
  </si>
  <si>
    <t>PB-12</t>
  </si>
  <si>
    <t>Reporte exportable KPIs para rendición de cuentas</t>
  </si>
  <si>
    <t>M2</t>
  </si>
  <si>
    <t>Entrega: Archivo .pbix Dashboards + Informe de avance</t>
  </si>
  <si>
    <t>PB-13</t>
  </si>
  <si>
    <t>Feature engineering dataset de entrenamiento ML</t>
  </si>
  <si>
    <t>PB-14</t>
  </si>
  <si>
    <t>Entrenamiento y evaluación modelo Scikit-learn (precisión ≥75%)</t>
  </si>
  <si>
    <t>PB-15</t>
  </si>
  <si>
    <t>Integración alertas RIESGO ALTO/BAJO en Power BI</t>
  </si>
  <si>
    <t>PB-16</t>
  </si>
  <si>
    <t>Auditoría final: precisión modelo y calidad dashboards</t>
  </si>
  <si>
    <t>PB-17</t>
  </si>
  <si>
    <t>Documentación técnica y presentación ejecutiva final</t>
  </si>
  <si>
    <t>M3</t>
  </si>
  <si>
    <t>Entrega Final: Sistema BI Integrado + Notebook ML + Presentación</t>
  </si>
  <si>
    <t>LEYENDA</t>
  </si>
  <si>
    <t>Sprint 0: Planificación y Arquitectura</t>
  </si>
  <si>
    <t>Sprint 1: Ingeniería de Datos (ETL)</t>
  </si>
  <si>
    <t>Sprint 2: Capa Analítica (Power BI)</t>
  </si>
  <si>
    <t>Sprint 3: Analítica Predictiva y Despliegue</t>
  </si>
  <si>
    <t>◆ Hito / Entrega</t>
  </si>
  <si>
    <t>RESUMEN DE STORY POINTS</t>
  </si>
  <si>
    <t>8 SP</t>
  </si>
  <si>
    <t>11 SP</t>
  </si>
  <si>
    <t>21 SP</t>
  </si>
  <si>
    <t>29 SP</t>
  </si>
  <si>
    <t>TOTAL</t>
  </si>
  <si>
    <t>69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</si>
</sst>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&quot;Google Sans Text&quot;"/>
    </font>
    <font>
      <b/>
      <sz val="11.0"/>
      <color theme="1"/>
      <name val="'Times New Roman'"/>
    </font>
    <font>
      <b/>
      <sz val="11.0"/>
      <color theme="1"/>
      <name val="Arial"/>
      <scheme val="minor"/>
    </font>
    <font>
      <b/>
      <sz val="9.0"/>
      <color rgb="FFFFFFFF"/>
      <name val="'Times New Roman'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000000"/>
      <name val="'Times New Roman'"/>
    </font>
    <font>
      <color rgb="FF000000"/>
      <name val="'Times New Roman'"/>
    </font>
    <font>
      <color theme="1"/>
      <name val="&quot;Google Sans Text&quot;"/>
    </font>
    <font>
      <sz val="11.0"/>
      <color theme="1"/>
      <name val="Arial"/>
      <scheme val="minor"/>
    </font>
    <font>
      <b/>
      <sz val="14.0"/>
      <color rgb="FFFFFFFF"/>
      <name val="Arial"/>
    </font>
    <font>
      <sz val="11.0"/>
      <color rgb="FF000000"/>
      <name val="Calibri"/>
    </font>
    <font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/>
    <font>
      <b/>
      <sz val="9.0"/>
      <color rgb="FFFFFFFF"/>
      <name val="Arial"/>
    </font>
    <font>
      <sz val="11.0"/>
      <color rgb="FF000000"/>
      <name val="Arial"/>
    </font>
    <font>
      <b/>
      <sz val="8.0"/>
      <color rgb="FFFFFFFF"/>
      <name val="Arial"/>
    </font>
    <font>
      <b/>
      <sz val="7.0"/>
      <color rgb="FFFFFFFF"/>
      <name val="Arial"/>
    </font>
    <font>
      <sz val="8.0"/>
      <color rgb="FF595959"/>
      <name val="Arial"/>
    </font>
    <font>
      <sz val="8.0"/>
      <color rgb="FF1F1F1F"/>
      <name val="Arial"/>
    </font>
    <font>
      <sz val="11.0"/>
      <color rgb="FFFFFFFF"/>
      <name val="Calibri"/>
    </font>
    <font>
      <b/>
      <sz val="8.0"/>
      <color rgb="FFCC0000"/>
      <name val="Arial"/>
    </font>
    <font>
      <b/>
      <i/>
      <sz val="8.0"/>
      <color rgb="FFCC0000"/>
      <name val="Arial"/>
    </font>
    <font>
      <b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F0F0F0"/>
        <bgColor rgb="FFF0F0F0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</fills>
  <borders count="1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595959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595959"/>
      </right>
      <top style="thin">
        <color rgb="FFBFBFBF"/>
      </top>
      <bottom style="thin">
        <color rgb="FFBFBFBF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BFBFBF"/>
      </left>
      <right style="thin">
        <color rgb="FF595959"/>
      </right>
      <bottom style="thin">
        <color rgb="FFBFBFBF"/>
      </bottom>
    </border>
    <border>
      <left style="thin">
        <color rgb="FF595959"/>
      </left>
      <right style="thin">
        <color rgb="FFBFBFBF"/>
      </right>
      <bottom style="thin">
        <color rgb="FFBFBFBF"/>
      </bottom>
    </border>
    <border>
      <right style="thin">
        <color rgb="FF595959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1" fillId="2" fontId="11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1" numFmtId="164" xfId="0" applyAlignment="1" applyBorder="1" applyFill="1" applyFont="1" applyNumberFormat="1">
      <alignment readingOrder="0" shrinkToFit="0" vertical="center" wrapText="0"/>
    </xf>
    <xf borderId="0" fillId="3" fontId="12" numFmtId="0" xfId="0" applyAlignment="1" applyFill="1" applyFont="1">
      <alignment horizontal="center" readingOrder="0" shrinkToFit="0" wrapText="0"/>
    </xf>
    <xf borderId="0" fillId="0" fontId="13" numFmtId="0" xfId="0" applyAlignment="1" applyFont="1">
      <alignment shrinkToFit="0" vertical="bottom" wrapText="0"/>
    </xf>
    <xf borderId="0" fillId="0" fontId="14" numFmtId="0" xfId="0" applyFont="1"/>
    <xf borderId="0" fillId="0" fontId="15" numFmtId="0" xfId="0" applyAlignment="1" applyFont="1">
      <alignment horizontal="left" readingOrder="0" shrinkToFit="0" vertical="center" wrapText="1"/>
    </xf>
    <xf borderId="2" fillId="3" fontId="16" numFmtId="0" xfId="0" applyAlignment="1" applyBorder="1" applyFill="1" applyFont="1">
      <alignment horizontal="center" readingOrder="0" shrinkToFit="0" wrapText="0"/>
    </xf>
    <xf borderId="3" fillId="0" fontId="17" numFmtId="0" xfId="0" applyBorder="1" applyFont="1"/>
    <xf borderId="4" fillId="0" fontId="17" numFmtId="0" xfId="0" applyBorder="1" applyFont="1"/>
    <xf borderId="2" fillId="4" fontId="18" numFmtId="0" xfId="0" applyAlignment="1" applyBorder="1" applyFill="1" applyFont="1">
      <alignment horizontal="center" readingOrder="0"/>
    </xf>
    <xf borderId="5" fillId="0" fontId="19" numFmtId="0" xfId="0" applyAlignment="1" applyBorder="1" applyFont="1">
      <alignment readingOrder="0" shrinkToFit="0" vertical="center" wrapText="1"/>
    </xf>
    <xf borderId="2" fillId="5" fontId="18" numFmtId="0" xfId="0" applyAlignment="1" applyBorder="1" applyFill="1" applyFont="1">
      <alignment horizontal="center" readingOrder="0"/>
    </xf>
    <xf borderId="2" fillId="6" fontId="18" numFmtId="0" xfId="0" applyAlignment="1" applyBorder="1" applyFill="1" applyFont="1">
      <alignment horizontal="center" readingOrder="0"/>
    </xf>
    <xf borderId="2" fillId="7" fontId="18" numFmtId="0" xfId="0" applyAlignment="1" applyBorder="1" applyFill="1" applyFont="1">
      <alignment horizontal="center" readingOrder="0"/>
    </xf>
    <xf borderId="2" fillId="3" fontId="18" numFmtId="0" xfId="0" applyAlignment="1" applyBorder="1" applyFill="1" applyFont="1">
      <alignment horizontal="center" readingOrder="0" shrinkToFit="0" wrapText="0"/>
    </xf>
    <xf borderId="0" fillId="4" fontId="20" numFmtId="0" xfId="0" applyAlignment="1" applyFill="1" applyFont="1">
      <alignment horizontal="center" readingOrder="0" shrinkToFit="0" wrapText="0"/>
    </xf>
    <xf borderId="0" fillId="5" fontId="20" numFmtId="0" xfId="0" applyAlignment="1" applyFill="1" applyFont="1">
      <alignment horizontal="center" readingOrder="0" shrinkToFit="0" wrapText="0"/>
    </xf>
    <xf borderId="0" fillId="6" fontId="20" numFmtId="0" xfId="0" applyAlignment="1" applyFill="1" applyFont="1">
      <alignment horizontal="center" readingOrder="0" shrinkToFit="0" wrapText="0"/>
    </xf>
    <xf borderId="0" fillId="7" fontId="20" numFmtId="0" xfId="0" applyAlignment="1" applyFill="1" applyFont="1">
      <alignment horizontal="center" readingOrder="0" shrinkToFit="0" wrapText="0"/>
    </xf>
    <xf borderId="6" fillId="7" fontId="20" numFmtId="0" xfId="0" applyAlignment="1" applyBorder="1" applyFill="1" applyFont="1">
      <alignment horizontal="center" readingOrder="0" shrinkToFit="0" wrapText="0"/>
    </xf>
    <xf borderId="6" fillId="0" fontId="17" numFmtId="0" xfId="0" applyBorder="1" applyFont="1"/>
    <xf borderId="2" fillId="3" fontId="18" numFmtId="0" xfId="0" applyAlignment="1" applyBorder="1" applyFill="1" applyFont="1">
      <alignment horizontal="left" readingOrder="0" shrinkToFit="0" wrapText="0"/>
    </xf>
    <xf borderId="7" fillId="4" fontId="21" numFmtId="0" xfId="0" applyAlignment="1" applyBorder="1" applyFill="1" applyFont="1">
      <alignment horizontal="center" readingOrder="0" shrinkToFit="0" wrapText="0"/>
    </xf>
    <xf borderId="7" fillId="5" fontId="21" numFmtId="0" xfId="0" applyAlignment="1" applyBorder="1" applyFill="1" applyFont="1">
      <alignment horizontal="center" readingOrder="0" shrinkToFit="0" wrapText="0"/>
    </xf>
    <xf borderId="7" fillId="6" fontId="21" numFmtId="0" xfId="0" applyAlignment="1" applyBorder="1" applyFill="1" applyFont="1">
      <alignment horizontal="center" readingOrder="0" shrinkToFit="0" wrapText="0"/>
    </xf>
    <xf borderId="7" fillId="7" fontId="21" numFmtId="0" xfId="0" applyAlignment="1" applyBorder="1" applyFill="1" applyFont="1">
      <alignment horizontal="center" readingOrder="0" shrinkToFit="0" wrapText="0"/>
    </xf>
    <xf borderId="8" fillId="8" fontId="22" numFmtId="0" xfId="0" applyAlignment="1" applyBorder="1" applyFill="1" applyFont="1">
      <alignment horizontal="center" readingOrder="0" shrinkToFit="0" wrapText="0"/>
    </xf>
    <xf borderId="7" fillId="4" fontId="21" numFmtId="0" xfId="0" applyAlignment="1" applyBorder="1" applyFill="1" applyFont="1">
      <alignment horizontal="center" readingOrder="0"/>
    </xf>
    <xf borderId="9" fillId="8" fontId="23" numFmtId="0" xfId="0" applyAlignment="1" applyBorder="1" applyFill="1" applyFont="1">
      <alignment horizontal="left" readingOrder="0" shrinkToFit="0" wrapText="0"/>
    </xf>
    <xf borderId="10" fillId="4" fontId="24" numFmtId="0" xfId="0" applyAlignment="1" applyBorder="1" applyFill="1" applyFont="1">
      <alignment horizontal="center" readingOrder="0" shrinkToFit="0" wrapText="0"/>
    </xf>
    <xf borderId="10" fillId="8" fontId="24" numFmtId="0" xfId="0" applyAlignment="1" applyBorder="1" applyFill="1" applyFont="1">
      <alignment shrinkToFit="0" vertical="bottom" wrapText="0"/>
    </xf>
    <xf borderId="11" fillId="8" fontId="24" numFmtId="0" xfId="0" applyAlignment="1" applyBorder="1" applyFill="1" applyFont="1">
      <alignment shrinkToFit="0" vertical="bottom" wrapText="0"/>
    </xf>
    <xf borderId="12" fillId="2" fontId="22" numFmtId="0" xfId="0" applyAlignment="1" applyBorder="1" applyFill="1" applyFont="1">
      <alignment horizontal="center" readingOrder="0" shrinkToFit="0" wrapText="0"/>
    </xf>
    <xf borderId="13" fillId="2" fontId="23" numFmtId="0" xfId="0" applyAlignment="1" applyBorder="1" applyFill="1" applyFont="1">
      <alignment horizontal="left" readingOrder="0" shrinkToFit="0" wrapText="0"/>
    </xf>
    <xf borderId="10" fillId="2" fontId="24" numFmtId="0" xfId="0" applyAlignment="1" applyBorder="1" applyFill="1" applyFont="1">
      <alignment shrinkToFit="0" vertical="bottom" wrapText="0"/>
    </xf>
    <xf borderId="11" fillId="2" fontId="24" numFmtId="0" xfId="0" applyAlignment="1" applyBorder="1" applyFill="1" applyFont="1">
      <alignment shrinkToFit="0" vertical="bottom" wrapText="0"/>
    </xf>
    <xf borderId="12" fillId="8" fontId="22" numFmtId="0" xfId="0" applyAlignment="1" applyBorder="1" applyFill="1" applyFont="1">
      <alignment horizontal="center" readingOrder="0" shrinkToFit="0" wrapText="0"/>
    </xf>
    <xf borderId="13" fillId="8" fontId="23" numFmtId="0" xfId="0" applyAlignment="1" applyBorder="1" applyFill="1" applyFont="1">
      <alignment horizontal="left" readingOrder="0" shrinkToFit="0" wrapText="0"/>
    </xf>
    <xf borderId="12" fillId="9" fontId="25" numFmtId="0" xfId="0" applyAlignment="1" applyBorder="1" applyFill="1" applyFont="1">
      <alignment horizontal="center" readingOrder="0" shrinkToFit="0" wrapText="0"/>
    </xf>
    <xf borderId="13" fillId="9" fontId="26" numFmtId="0" xfId="0" applyAlignment="1" applyBorder="1" applyFill="1" applyFont="1">
      <alignment horizontal="left" readingOrder="0" shrinkToFit="0" wrapText="0"/>
    </xf>
    <xf borderId="10" fillId="9" fontId="24" numFmtId="0" xfId="0" applyAlignment="1" applyBorder="1" applyFill="1" applyFont="1">
      <alignment shrinkToFit="0" vertical="bottom" wrapText="0"/>
    </xf>
    <xf borderId="10" fillId="10" fontId="20" numFmtId="0" xfId="0" applyAlignment="1" applyBorder="1" applyFill="1" applyFont="1">
      <alignment horizontal="center" readingOrder="0" shrinkToFit="0" wrapText="0"/>
    </xf>
    <xf borderId="11" fillId="9" fontId="24" numFmtId="0" xfId="0" applyAlignment="1" applyBorder="1" applyFill="1" applyFont="1">
      <alignment shrinkToFit="0" vertical="bottom" wrapText="0"/>
    </xf>
    <xf borderId="7" fillId="5" fontId="21" numFmtId="0" xfId="0" applyAlignment="1" applyBorder="1" applyFill="1" applyFont="1">
      <alignment horizontal="center" readingOrder="0"/>
    </xf>
    <xf borderId="10" fillId="5" fontId="24" numFmtId="0" xfId="0" applyAlignment="1" applyBorder="1" applyFill="1" applyFont="1">
      <alignment horizontal="center" readingOrder="0" shrinkToFit="0" wrapText="0"/>
    </xf>
    <xf borderId="7" fillId="6" fontId="21" numFmtId="0" xfId="0" applyAlignment="1" applyBorder="1" applyFill="1" applyFont="1">
      <alignment horizontal="center" readingOrder="0"/>
    </xf>
    <xf borderId="10" fillId="6" fontId="24" numFmtId="0" xfId="0" applyAlignment="1" applyBorder="1" applyFill="1" applyFont="1">
      <alignment horizontal="center" readingOrder="0" shrinkToFit="0" wrapText="0"/>
    </xf>
    <xf borderId="7" fillId="7" fontId="21" numFmtId="0" xfId="0" applyAlignment="1" applyBorder="1" applyFill="1" applyFont="1">
      <alignment horizontal="center" readingOrder="0"/>
    </xf>
    <xf borderId="10" fillId="7" fontId="24" numFmtId="0" xfId="0" applyAlignment="1" applyBorder="1" applyFill="1" applyFont="1">
      <alignment horizontal="center" readingOrder="0" shrinkToFit="0" wrapText="0"/>
    </xf>
    <xf borderId="11" fillId="7" fontId="24" numFmtId="0" xfId="0" applyAlignment="1" applyBorder="1" applyFill="1" applyFont="1">
      <alignment horizontal="center" readingOrder="0" shrinkToFit="0" wrapText="0"/>
    </xf>
    <xf borderId="11" fillId="10" fontId="20" numFmtId="0" xfId="0" applyAlignment="1" applyBorder="1" applyFill="1" applyFont="1">
      <alignment horizontal="center" readingOrder="0" shrinkToFit="0" wrapText="0"/>
    </xf>
    <xf borderId="0" fillId="3" fontId="27" numFmtId="0" xfId="0" applyAlignment="1" applyFill="1" applyFont="1">
      <alignment horizontal="center" readingOrder="0" shrinkToFit="0" wrapText="0"/>
    </xf>
    <xf borderId="7" fillId="4" fontId="13" numFmtId="0" xfId="0" applyAlignment="1" applyBorder="1" applyFill="1" applyFont="1">
      <alignment shrinkToFit="0" vertical="bottom" wrapText="0"/>
    </xf>
    <xf borderId="14" fillId="0" fontId="28" numFmtId="0" xfId="0" applyAlignment="1" applyBorder="1" applyFont="1">
      <alignment readingOrder="0" shrinkToFit="0" wrapText="0"/>
    </xf>
    <xf borderId="15" fillId="0" fontId="17" numFmtId="0" xfId="0" applyBorder="1" applyFont="1"/>
    <xf borderId="7" fillId="5" fontId="13" numFmtId="0" xfId="0" applyAlignment="1" applyBorder="1" applyFill="1" applyFont="1">
      <alignment shrinkToFit="0" vertical="bottom" wrapText="0"/>
    </xf>
    <xf borderId="7" fillId="6" fontId="13" numFmtId="0" xfId="0" applyAlignment="1" applyBorder="1" applyFill="1" applyFont="1">
      <alignment shrinkToFit="0" vertical="bottom" wrapText="0"/>
    </xf>
    <xf borderId="7" fillId="7" fontId="13" numFmtId="0" xfId="0" applyAlignment="1" applyBorder="1" applyFill="1" applyFont="1">
      <alignment shrinkToFit="0" vertical="bottom" wrapText="0"/>
    </xf>
    <xf borderId="7" fillId="10" fontId="13" numFmtId="0" xfId="0" applyAlignment="1" applyBorder="1" applyFill="1" applyFont="1">
      <alignment shrinkToFit="0" vertical="bottom" wrapText="0"/>
    </xf>
    <xf borderId="7" fillId="4" fontId="18" numFmtId="0" xfId="0" applyAlignment="1" applyBorder="1" applyFill="1" applyFont="1">
      <alignment horizontal="center" readingOrder="0" shrinkToFit="0" wrapText="0"/>
    </xf>
    <xf borderId="7" fillId="5" fontId="18" numFmtId="0" xfId="0" applyAlignment="1" applyBorder="1" applyFill="1" applyFont="1">
      <alignment horizontal="center" readingOrder="0" shrinkToFit="0" wrapText="0"/>
    </xf>
    <xf borderId="7" fillId="6" fontId="18" numFmtId="0" xfId="0" applyAlignment="1" applyBorder="1" applyFill="1" applyFont="1">
      <alignment horizontal="center" readingOrder="0" shrinkToFit="0" wrapText="0"/>
    </xf>
    <xf borderId="7" fillId="7" fontId="18" numFmtId="0" xfId="0" applyAlignment="1" applyBorder="1" applyFill="1" applyFont="1">
      <alignment horizontal="center" readingOrder="0" shrinkToFit="0" wrapText="0"/>
    </xf>
    <xf borderId="7" fillId="3" fontId="18" numFmtId="0" xfId="0" applyAlignment="1" applyBorder="1" applyFill="1" applyFont="1">
      <alignment horizontal="center" readingOrder="0" shrinkToFit="0" wrapText="0"/>
    </xf>
    <xf borderId="14" fillId="0" fontId="29" numFmtId="0" xfId="0" applyAlignment="1" applyBorder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_Ries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 de Activ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erimi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 de Actividad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erimient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 de Actividad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14" displayName="Product_Backlog" name="Product_Backlog" id="1">
  <tableColumns count="10">
    <tableColumn name="ID" id="1"/>
    <tableColumn name="Nombre de la Historia" id="2"/>
    <tableColumn name="Prioridad" id="3"/>
    <tableColumn name="Story Points" id="4"/>
    <tableColumn name="Épica" id="5"/>
    <tableColumn name="Sprint Asignado" id="6"/>
    <tableColumn name="Estado" id="7"/>
    <tableColumn name="RS" id="8"/>
    <tableColumn name="RN" id="9"/>
    <tableColumn name="Comentarios" id="10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3:D8" displayName="R_NEGOCIO" name="R_NEGOCIO" id="3">
  <tableColumns count="4">
    <tableColumn name="ID" id="1"/>
    <tableColumn name="Nombre del Requerimiento" id="2"/>
    <tableColumn name="Descripción Estratégica" id="3"/>
    <tableColumn name="Meta / Impacto Institucional" id="4"/>
  </tableColumns>
  <tableStyleInfo name="Requerimientos-style" showColumnStripes="0" showFirstColumn="1" showLastColumn="1" showRowStripes="1"/>
</table>
</file>

<file path=xl/tables/table3.xml><?xml version="1.0" encoding="utf-8"?>
<table xmlns="http://schemas.openxmlformats.org/spreadsheetml/2006/main" ref="F3:I9" displayName="R_SISTEMA" name="R_SISTEMA" id="6">
  <tableColumns count="4">
    <tableColumn name="ID" id="1"/>
    <tableColumn name="Nombre del Requerimiento" id="2"/>
    <tableColumn name="Capacidad Técnica del Sistema" id="3"/>
    <tableColumn name="Componente / Stack Relacionado" id="4"/>
  </tableColumns>
  <tableStyleInfo name="Requerimientos-style 2" showColumnStripes="0" showFirstColumn="1" showLastColumn="1" showRowStripes="1"/>
</table>
</file>

<file path=xl/tables/table4.xml><?xml version="1.0" encoding="utf-8"?>
<table xmlns="http://schemas.openxmlformats.org/spreadsheetml/2006/main" ref="A2:F11" displayName="Registro_de_Riesgos" name="Registro_de_Riesgos" id="2">
  <tableColumns count="6">
    <tableColumn name="ID" id="1"/>
    <tableColumn name="Riesgo / Problema" id="2"/>
    <tableColumn name="Impacto" id="3"/>
    <tableColumn name="Estado" id="4"/>
    <tableColumn name="Plan de Mitigación / Solución Aplicada" id="5"/>
    <tableColumn name="Responsable" id="6"/>
  </tableColumns>
  <tableStyleInfo name="Registro_Riesgos-style" showColumnStripes="0" showFirstColumn="1" showLastColumn="1" showRowStripes="1"/>
</table>
</file>

<file path=xl/tables/table5.xml><?xml version="1.0" encoding="utf-8"?>
<table xmlns="http://schemas.openxmlformats.org/spreadsheetml/2006/main" ref="A2:F6" displayName="SEMANA_03" name="SEMANA_03" id="4">
  <tableColumns count="6">
    <tableColumn name="N°" id="1"/>
    <tableColumn name="Actividad / Asignación" id="2"/>
    <tableColumn name="Autor- Rol" id="3"/>
    <tableColumn name="Inicio" id="4"/>
    <tableColumn name="Fin" id="5"/>
    <tableColumn name="Estado" id="6"/>
  </tableColumns>
  <tableStyleInfo name="Plan de Actividades-style" showColumnStripes="0" showFirstColumn="1" showLastColumn="1" showRowStripes="1"/>
</table>
</file>

<file path=xl/tables/table6.xml><?xml version="1.0" encoding="utf-8"?>
<table xmlns="http://schemas.openxmlformats.org/spreadsheetml/2006/main" ref="A9:F14" displayName="SEMANA_04" name="SEMANA_04" id="5">
  <tableColumns count="6">
    <tableColumn name="N°" id="1"/>
    <tableColumn name="Actividad / Asignación" id="2"/>
    <tableColumn name="Autor - Rol" id="3"/>
    <tableColumn name="Inicio" id="4"/>
    <tableColumn name="Fin" id="5"/>
    <tableColumn name="Estado" id="6"/>
  </tableColumns>
  <tableStyleInfo name="Plan de Actividades-style 2" showColumnStripes="0" showFirstColumn="1" showLastColumn="1" showRowStripes="1"/>
</table>
</file>

<file path=xl/tables/table7.xml><?xml version="1.0" encoding="utf-8"?>
<table xmlns="http://schemas.openxmlformats.org/spreadsheetml/2006/main" ref="A17:F23" displayName="SEMANA_05" name="SEMANA_05" id="7">
  <tableColumns count="6">
    <tableColumn name="N°" id="1"/>
    <tableColumn name="Actividad / Asignación" id="2"/>
    <tableColumn name="Autor- Rol" id="3"/>
    <tableColumn name="Inicio" id="4"/>
    <tableColumn name="Fin" id="5"/>
    <tableColumn name="Estado" id="6"/>
  </tableColumns>
  <tableStyleInfo name="Plan de Actividades-style 3" showColumnStripes="0" showFirstColumn="1" showLastColumn="1" showRowStripes="1"/>
</table>
</file>

<file path=xl/tables/table8.xml><?xml version="1.0" encoding="utf-8"?>
<table xmlns="http://schemas.openxmlformats.org/spreadsheetml/2006/main" ref="A2:G14" displayName="Historias_de_Usuario" name="Historias_de_Usuario" id="8">
  <tableColumns count="7">
    <tableColumn name="Épica" id="1"/>
    <tableColumn name="ID" id="2"/>
    <tableColumn name="Título" id="3"/>
    <tableColumn name="Historia de Usuario" id="4"/>
    <tableColumn name="Criterios de aceptación" id="5"/>
    <tableColumn name="Prioridad" id="6"/>
    <tableColumn name="Sprint" id="7"/>
  </tableColumns>
  <tableStyleInfo name="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38"/>
    <col customWidth="1" min="3" max="3" width="15.5"/>
    <col customWidth="1" min="4" max="4" width="17.75"/>
    <col customWidth="1" min="5" max="5" width="37.63"/>
    <col customWidth="1" min="6" max="6" width="17.25"/>
    <col customWidth="1" min="7" max="7" width="13.88"/>
    <col customWidth="1" min="8" max="8" width="7.38"/>
    <col customWidth="1" min="9" max="9" width="7.63"/>
    <col customWidth="1" min="10" max="10" width="91.25"/>
  </cols>
  <sheetData>
    <row r="2" ht="22.5" customHeight="1">
      <c r="A2" s="1" t="s">
        <v>0</v>
      </c>
      <c r="B2" s="1" t="s">
        <v>1</v>
      </c>
      <c r="C2" s="1" t="s">
        <v>3</v>
      </c>
      <c r="D2" s="1" t="s">
        <v>4</v>
      </c>
      <c r="E2" s="1" t="s">
        <v>6</v>
      </c>
      <c r="F2" s="1" t="s">
        <v>8</v>
      </c>
      <c r="G2" s="1" t="s">
        <v>11</v>
      </c>
      <c r="H2" s="5" t="s">
        <v>14</v>
      </c>
      <c r="I2" s="5" t="s">
        <v>16</v>
      </c>
      <c r="J2" s="6" t="s">
        <v>19</v>
      </c>
    </row>
    <row r="3" ht="22.5" customHeight="1">
      <c r="A3" s="8" t="s">
        <v>23</v>
      </c>
      <c r="B3" s="8" t="s">
        <v>26</v>
      </c>
      <c r="C3" s="10" t="s">
        <v>29</v>
      </c>
      <c r="D3" s="13">
        <v>3.0</v>
      </c>
      <c r="E3" s="8" t="s">
        <v>33</v>
      </c>
      <c r="F3" s="8" t="s">
        <v>35</v>
      </c>
      <c r="G3" s="10" t="s">
        <v>37</v>
      </c>
      <c r="H3" s="14">
        <v>1.0</v>
      </c>
      <c r="I3" s="14">
        <v>1.0</v>
      </c>
      <c r="J3" s="8" t="s">
        <v>41</v>
      </c>
    </row>
    <row r="4" ht="22.5" customHeight="1">
      <c r="A4" s="8" t="s">
        <v>53</v>
      </c>
      <c r="B4" s="8" t="s">
        <v>56</v>
      </c>
      <c r="C4" s="10" t="s">
        <v>29</v>
      </c>
      <c r="D4" s="13">
        <v>5.0</v>
      </c>
      <c r="E4" s="8"/>
      <c r="F4" s="8" t="s">
        <v>35</v>
      </c>
      <c r="G4" s="10" t="s">
        <v>37</v>
      </c>
      <c r="H4" s="14">
        <v>3.0</v>
      </c>
      <c r="I4" s="14">
        <v>1.0</v>
      </c>
      <c r="J4" s="8" t="s">
        <v>75</v>
      </c>
    </row>
    <row r="5" ht="22.5" customHeight="1">
      <c r="A5" s="8" t="s">
        <v>81</v>
      </c>
      <c r="B5" s="8" t="s">
        <v>83</v>
      </c>
      <c r="C5" s="10" t="s">
        <v>29</v>
      </c>
      <c r="D5" s="13">
        <v>3.0</v>
      </c>
      <c r="E5" s="8" t="s">
        <v>88</v>
      </c>
      <c r="F5" s="8" t="s">
        <v>89</v>
      </c>
      <c r="G5" s="10" t="s">
        <v>37</v>
      </c>
      <c r="H5" s="14">
        <v>1.0</v>
      </c>
      <c r="I5" s="14">
        <v>5.0</v>
      </c>
      <c r="J5" s="8" t="s">
        <v>96</v>
      </c>
    </row>
    <row r="6" ht="22.5" customHeight="1">
      <c r="A6" s="8" t="s">
        <v>101</v>
      </c>
      <c r="B6" s="8" t="s">
        <v>103</v>
      </c>
      <c r="C6" s="10" t="s">
        <v>105</v>
      </c>
      <c r="D6" s="13">
        <v>5.0</v>
      </c>
      <c r="E6" s="8"/>
      <c r="F6" s="8" t="s">
        <v>89</v>
      </c>
      <c r="G6" s="10" t="s">
        <v>37</v>
      </c>
      <c r="H6" s="14">
        <v>3.0</v>
      </c>
      <c r="I6" s="14">
        <v>2.0</v>
      </c>
      <c r="J6" s="8" t="s">
        <v>115</v>
      </c>
    </row>
    <row r="7" ht="22.5" customHeight="1">
      <c r="A7" s="8" t="s">
        <v>121</v>
      </c>
      <c r="B7" s="8" t="s">
        <v>122</v>
      </c>
      <c r="C7" s="10" t="s">
        <v>105</v>
      </c>
      <c r="D7" s="13">
        <v>3.0</v>
      </c>
      <c r="E7" s="8"/>
      <c r="F7" s="8" t="s">
        <v>89</v>
      </c>
      <c r="G7" s="10" t="s">
        <v>37</v>
      </c>
      <c r="H7" s="14">
        <v>2.0</v>
      </c>
      <c r="I7" s="14">
        <v>1.0</v>
      </c>
      <c r="J7" s="8" t="s">
        <v>127</v>
      </c>
    </row>
    <row r="8" ht="22.5" customHeight="1">
      <c r="A8" s="8" t="s">
        <v>130</v>
      </c>
      <c r="B8" s="8" t="s">
        <v>132</v>
      </c>
      <c r="C8" s="10" t="s">
        <v>105</v>
      </c>
      <c r="D8" s="13">
        <v>8.0</v>
      </c>
      <c r="E8" s="8" t="s">
        <v>135</v>
      </c>
      <c r="F8" s="8" t="s">
        <v>136</v>
      </c>
      <c r="G8" s="10" t="s">
        <v>37</v>
      </c>
      <c r="H8" s="14">
        <v>6.0</v>
      </c>
      <c r="I8" s="14">
        <v>1.0</v>
      </c>
      <c r="J8" s="8" t="s">
        <v>140</v>
      </c>
    </row>
    <row r="9" ht="22.5" customHeight="1">
      <c r="A9" s="8" t="s">
        <v>143</v>
      </c>
      <c r="B9" s="8" t="s">
        <v>144</v>
      </c>
      <c r="C9" s="10" t="s">
        <v>105</v>
      </c>
      <c r="D9" s="13">
        <v>5.0</v>
      </c>
      <c r="E9" s="8"/>
      <c r="F9" s="8" t="s">
        <v>136</v>
      </c>
      <c r="G9" s="10" t="s">
        <v>37</v>
      </c>
      <c r="H9" s="14">
        <v>4.0</v>
      </c>
      <c r="I9" s="14">
        <v>3.0</v>
      </c>
      <c r="J9" s="8" t="s">
        <v>147</v>
      </c>
    </row>
    <row r="10" ht="22.5" customHeight="1">
      <c r="A10" s="8" t="s">
        <v>148</v>
      </c>
      <c r="B10" s="8" t="s">
        <v>149</v>
      </c>
      <c r="C10" s="10" t="s">
        <v>150</v>
      </c>
      <c r="D10" s="13">
        <v>5.0</v>
      </c>
      <c r="E10" s="8"/>
      <c r="F10" s="8" t="s">
        <v>136</v>
      </c>
      <c r="G10" s="10" t="s">
        <v>37</v>
      </c>
      <c r="H10" s="14">
        <v>6.0</v>
      </c>
      <c r="I10" s="14">
        <v>2.0</v>
      </c>
      <c r="J10" s="8" t="s">
        <v>152</v>
      </c>
    </row>
    <row r="11" ht="22.5" customHeight="1">
      <c r="A11" s="8" t="s">
        <v>153</v>
      </c>
      <c r="B11" s="8" t="s">
        <v>154</v>
      </c>
      <c r="C11" s="10" t="s">
        <v>150</v>
      </c>
      <c r="D11" s="13">
        <v>3.0</v>
      </c>
      <c r="E11" s="8"/>
      <c r="F11" s="8" t="s">
        <v>136</v>
      </c>
      <c r="G11" s="10" t="s">
        <v>37</v>
      </c>
      <c r="H11" s="14">
        <v>6.0</v>
      </c>
      <c r="I11" s="14">
        <v>5.0</v>
      </c>
      <c r="J11" s="8" t="s">
        <v>156</v>
      </c>
    </row>
    <row r="12" ht="22.5" customHeight="1">
      <c r="A12" s="8" t="s">
        <v>157</v>
      </c>
      <c r="B12" s="8" t="s">
        <v>158</v>
      </c>
      <c r="C12" s="10" t="s">
        <v>105</v>
      </c>
      <c r="D12" s="13">
        <v>13.0</v>
      </c>
      <c r="E12" s="8" t="s">
        <v>159</v>
      </c>
      <c r="F12" s="8" t="s">
        <v>160</v>
      </c>
      <c r="G12" s="10" t="s">
        <v>37</v>
      </c>
      <c r="H12" s="14">
        <v>5.0</v>
      </c>
      <c r="I12" s="14">
        <v>4.0</v>
      </c>
      <c r="J12" s="8" t="s">
        <v>163</v>
      </c>
    </row>
    <row r="13" ht="22.5" customHeight="1">
      <c r="A13" s="8" t="s">
        <v>164</v>
      </c>
      <c r="B13" s="8" t="s">
        <v>165</v>
      </c>
      <c r="C13" s="10" t="s">
        <v>105</v>
      </c>
      <c r="D13" s="13">
        <v>8.0</v>
      </c>
      <c r="E13" s="8"/>
      <c r="F13" s="8" t="s">
        <v>160</v>
      </c>
      <c r="G13" s="10" t="s">
        <v>37</v>
      </c>
      <c r="H13" s="14">
        <v>5.0</v>
      </c>
      <c r="I13" s="14">
        <v>4.0</v>
      </c>
      <c r="J13" s="8" t="s">
        <v>166</v>
      </c>
    </row>
    <row r="14" ht="22.5" customHeight="1">
      <c r="A14" s="8" t="s">
        <v>167</v>
      </c>
      <c r="B14" s="8" t="s">
        <v>168</v>
      </c>
      <c r="C14" s="10" t="s">
        <v>150</v>
      </c>
      <c r="D14" s="13">
        <v>8.0</v>
      </c>
      <c r="E14" s="8"/>
      <c r="F14" s="8" t="s">
        <v>160</v>
      </c>
      <c r="G14" s="10" t="s">
        <v>37</v>
      </c>
      <c r="H14" s="14">
        <v>5.0</v>
      </c>
      <c r="I14" s="14">
        <v>4.0</v>
      </c>
      <c r="J14" s="8" t="s">
        <v>169</v>
      </c>
    </row>
  </sheetData>
  <dataValidations>
    <dataValidation type="list" allowBlank="1" sqref="G3:G14">
      <formula1>"Completo,Refinado,Pendiente,Progreso,Sin iniciar"</formula1>
    </dataValidation>
    <dataValidation type="custom" allowBlank="1" showDropDown="1" sqref="D3:D14">
      <formula1>AND(ISNUMBER(D3),(NOT(OR(NOT(ISERROR(DATEVALUE(D3))), AND(ISNUMBER(D3), LEFT(CELL("format", D3))="D")))))</formula1>
    </dataValidation>
    <dataValidation type="list" allowBlank="1" sqref="C3:C14">
      <formula1>"Muy Alta,Alta,Media,Baja"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.63"/>
    <col customWidth="1" min="3" max="3" width="21.63"/>
    <col customWidth="1" min="4" max="4" width="25.25"/>
    <col customWidth="1" min="7" max="7" width="15.63"/>
    <col customWidth="1" min="8" max="8" width="30.38"/>
    <col customWidth="1" min="9" max="9" width="17.75"/>
  </cols>
  <sheetData>
    <row r="3" ht="22.5" customHeight="1">
      <c r="A3" s="3" t="s">
        <v>0</v>
      </c>
      <c r="B3" s="3" t="s">
        <v>7</v>
      </c>
      <c r="C3" s="3" t="s">
        <v>10</v>
      </c>
      <c r="D3" s="3" t="s">
        <v>13</v>
      </c>
      <c r="F3" s="3" t="s">
        <v>0</v>
      </c>
      <c r="G3" s="3" t="s">
        <v>7</v>
      </c>
      <c r="H3" s="3" t="s">
        <v>20</v>
      </c>
      <c r="I3" s="3" t="s">
        <v>24</v>
      </c>
    </row>
    <row r="4" ht="22.5" customHeight="1">
      <c r="A4" s="12" t="s">
        <v>28</v>
      </c>
      <c r="B4" s="12" t="s">
        <v>32</v>
      </c>
      <c r="C4" s="12" t="s">
        <v>38</v>
      </c>
      <c r="D4" s="12" t="s">
        <v>39</v>
      </c>
      <c r="F4" s="12" t="s">
        <v>40</v>
      </c>
      <c r="G4" s="12" t="s">
        <v>42</v>
      </c>
      <c r="H4" s="12" t="s">
        <v>43</v>
      </c>
      <c r="I4" s="12" t="s">
        <v>45</v>
      </c>
    </row>
    <row r="5" ht="22.5" customHeight="1">
      <c r="A5" s="12" t="s">
        <v>49</v>
      </c>
      <c r="B5" s="12" t="s">
        <v>51</v>
      </c>
      <c r="C5" s="12" t="s">
        <v>52</v>
      </c>
      <c r="D5" s="12" t="s">
        <v>54</v>
      </c>
      <c r="F5" s="12" t="s">
        <v>57</v>
      </c>
      <c r="G5" s="12" t="s">
        <v>58</v>
      </c>
      <c r="H5" s="12" t="s">
        <v>59</v>
      </c>
      <c r="I5" s="12" t="s">
        <v>60</v>
      </c>
    </row>
    <row r="6" ht="22.5" customHeight="1">
      <c r="A6" s="12" t="s">
        <v>62</v>
      </c>
      <c r="B6" s="12" t="s">
        <v>63</v>
      </c>
      <c r="C6" s="12" t="s">
        <v>67</v>
      </c>
      <c r="D6" s="12" t="s">
        <v>68</v>
      </c>
      <c r="F6" s="12" t="s">
        <v>70</v>
      </c>
      <c r="G6" s="12" t="s">
        <v>72</v>
      </c>
      <c r="H6" s="12" t="s">
        <v>74</v>
      </c>
      <c r="I6" s="12" t="s">
        <v>76</v>
      </c>
    </row>
    <row r="7" ht="22.5" customHeight="1">
      <c r="A7" s="12" t="s">
        <v>80</v>
      </c>
      <c r="B7" s="12" t="s">
        <v>82</v>
      </c>
      <c r="C7" s="12" t="s">
        <v>85</v>
      </c>
      <c r="D7" s="12" t="s">
        <v>86</v>
      </c>
      <c r="F7" s="12" t="s">
        <v>87</v>
      </c>
      <c r="G7" s="12" t="s">
        <v>90</v>
      </c>
      <c r="H7" s="12" t="s">
        <v>92</v>
      </c>
      <c r="I7" s="12" t="s">
        <v>95</v>
      </c>
    </row>
    <row r="8" ht="22.5" customHeight="1">
      <c r="A8" s="12" t="s">
        <v>97</v>
      </c>
      <c r="B8" s="12" t="s">
        <v>99</v>
      </c>
      <c r="C8" s="12" t="s">
        <v>100</v>
      </c>
      <c r="D8" s="12" t="s">
        <v>102</v>
      </c>
      <c r="F8" s="12" t="s">
        <v>104</v>
      </c>
      <c r="G8" s="12" t="s">
        <v>107</v>
      </c>
      <c r="H8" s="12" t="s">
        <v>109</v>
      </c>
      <c r="I8" s="12" t="s">
        <v>111</v>
      </c>
    </row>
    <row r="9" ht="22.5" customHeight="1">
      <c r="F9" s="12" t="s">
        <v>113</v>
      </c>
      <c r="G9" s="12" t="s">
        <v>116</v>
      </c>
      <c r="H9" s="12" t="s">
        <v>118</v>
      </c>
      <c r="I9" s="12" t="s">
        <v>119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55.38"/>
    <col customWidth="1" min="3" max="3" width="19.0"/>
    <col customWidth="1" min="4" max="4" width="15.25"/>
    <col customWidth="1" min="5" max="5" width="39.5"/>
    <col customWidth="1" min="6" max="6" width="19.75"/>
  </cols>
  <sheetData>
    <row r="2" ht="22.5" customHeight="1">
      <c r="A2" s="2" t="s">
        <v>0</v>
      </c>
      <c r="B2" s="2" t="s">
        <v>5</v>
      </c>
      <c r="C2" s="2" t="s">
        <v>9</v>
      </c>
      <c r="D2" s="2" t="s">
        <v>11</v>
      </c>
      <c r="E2" s="2" t="s">
        <v>15</v>
      </c>
      <c r="F2" s="2" t="s">
        <v>17</v>
      </c>
    </row>
    <row r="3" ht="22.5" customHeight="1">
      <c r="A3" s="7" t="s">
        <v>21</v>
      </c>
      <c r="B3" s="9" t="s">
        <v>25</v>
      </c>
      <c r="C3" s="11" t="s">
        <v>30</v>
      </c>
      <c r="D3" s="11" t="s">
        <v>31</v>
      </c>
      <c r="E3" s="9" t="s">
        <v>34</v>
      </c>
      <c r="F3" s="9" t="s">
        <v>36</v>
      </c>
    </row>
    <row r="4" ht="22.5" customHeight="1">
      <c r="A4" s="7" t="s">
        <v>46</v>
      </c>
      <c r="B4" s="9" t="s">
        <v>48</v>
      </c>
      <c r="C4" s="11" t="s">
        <v>50</v>
      </c>
      <c r="D4" s="11" t="s">
        <v>31</v>
      </c>
      <c r="E4" s="9" t="s">
        <v>55</v>
      </c>
      <c r="F4" s="9" t="s">
        <v>36</v>
      </c>
    </row>
    <row r="5" ht="22.5" customHeight="1">
      <c r="A5" s="7" t="s">
        <v>61</v>
      </c>
      <c r="B5" s="9" t="s">
        <v>64</v>
      </c>
      <c r="C5" s="11" t="s">
        <v>66</v>
      </c>
      <c r="D5" s="11" t="s">
        <v>31</v>
      </c>
      <c r="E5" s="9" t="s">
        <v>69</v>
      </c>
      <c r="F5" s="9" t="s">
        <v>71</v>
      </c>
    </row>
    <row r="6" ht="22.5" customHeight="1">
      <c r="A6" s="7" t="s">
        <v>78</v>
      </c>
      <c r="B6" s="9" t="s">
        <v>79</v>
      </c>
      <c r="C6" s="11" t="s">
        <v>30</v>
      </c>
      <c r="D6" s="11" t="s">
        <v>31</v>
      </c>
      <c r="E6" s="9" t="s">
        <v>84</v>
      </c>
      <c r="F6" s="9" t="s">
        <v>36</v>
      </c>
    </row>
    <row r="7" ht="22.5" customHeight="1">
      <c r="A7" s="7" t="s">
        <v>91</v>
      </c>
      <c r="B7" s="9" t="s">
        <v>93</v>
      </c>
      <c r="C7" s="11" t="s">
        <v>30</v>
      </c>
      <c r="D7" s="11" t="s">
        <v>31</v>
      </c>
      <c r="E7" s="9" t="s">
        <v>98</v>
      </c>
      <c r="F7" s="9" t="s">
        <v>36</v>
      </c>
    </row>
    <row r="8" ht="22.5" customHeight="1">
      <c r="A8" s="16" t="s">
        <v>106</v>
      </c>
      <c r="B8" s="17" t="s">
        <v>108</v>
      </c>
      <c r="C8" s="18" t="s">
        <v>30</v>
      </c>
      <c r="D8" s="18" t="s">
        <v>31</v>
      </c>
      <c r="E8" s="17" t="s">
        <v>114</v>
      </c>
      <c r="F8" s="17" t="s">
        <v>117</v>
      </c>
    </row>
    <row r="9" ht="22.5" customHeight="1">
      <c r="A9" s="16" t="s">
        <v>120</v>
      </c>
      <c r="B9" s="17" t="s">
        <v>123</v>
      </c>
      <c r="C9" s="18" t="s">
        <v>50</v>
      </c>
      <c r="D9" s="18" t="s">
        <v>31</v>
      </c>
      <c r="E9" s="17" t="s">
        <v>124</v>
      </c>
      <c r="F9" s="17" t="s">
        <v>125</v>
      </c>
    </row>
    <row r="10" ht="22.5" customHeight="1">
      <c r="A10" s="16" t="s">
        <v>128</v>
      </c>
      <c r="B10" s="17" t="s">
        <v>129</v>
      </c>
      <c r="C10" s="18" t="s">
        <v>66</v>
      </c>
      <c r="D10" s="18" t="s">
        <v>31</v>
      </c>
      <c r="E10" s="17" t="s">
        <v>131</v>
      </c>
      <c r="F10" s="17" t="s">
        <v>133</v>
      </c>
    </row>
    <row r="11" ht="22.5" customHeight="1">
      <c r="A11" s="16" t="s">
        <v>138</v>
      </c>
      <c r="B11" s="17" t="s">
        <v>139</v>
      </c>
      <c r="C11" s="18" t="s">
        <v>50</v>
      </c>
      <c r="D11" s="18" t="s">
        <v>31</v>
      </c>
      <c r="E11" s="17" t="s">
        <v>141</v>
      </c>
      <c r="F11" s="17" t="s">
        <v>142</v>
      </c>
    </row>
  </sheetData>
  <dataValidations>
    <dataValidation type="list" allowBlank="1" sqref="C3:C11">
      <formula1>"Alto (Bloqueante),Medio,Alto"</formula1>
    </dataValidation>
    <dataValidation type="list" allowBlank="1" sqref="D3:D11">
      <formula1>"Solucionado,Por revisar"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7.63"/>
    <col customWidth="1" min="3" max="3" width="26.13"/>
    <col customWidth="1" min="4" max="4" width="13.25"/>
    <col customWidth="1" min="5" max="5" width="12.75"/>
    <col customWidth="1" min="6" max="6" width="21.5"/>
  </cols>
  <sheetData>
    <row r="2" ht="22.5" customHeight="1">
      <c r="A2" s="4" t="s">
        <v>2</v>
      </c>
      <c r="B2" s="4" t="s">
        <v>12</v>
      </c>
      <c r="C2" s="4" t="s">
        <v>18</v>
      </c>
      <c r="D2" s="4" t="s">
        <v>22</v>
      </c>
      <c r="E2" s="4" t="s">
        <v>27</v>
      </c>
      <c r="F2" s="4" t="s">
        <v>11</v>
      </c>
    </row>
    <row r="3" ht="22.5" customHeight="1">
      <c r="A3" s="7">
        <v>1.0</v>
      </c>
      <c r="B3" s="9" t="s">
        <v>44</v>
      </c>
      <c r="C3" s="9" t="s">
        <v>47</v>
      </c>
      <c r="D3" s="15">
        <v>46155.0</v>
      </c>
      <c r="E3" s="15">
        <v>46156.0</v>
      </c>
      <c r="F3" s="11" t="s">
        <v>65</v>
      </c>
    </row>
    <row r="4" ht="22.5" customHeight="1">
      <c r="A4" s="7">
        <v>2.0</v>
      </c>
      <c r="B4" s="9" t="s">
        <v>73</v>
      </c>
      <c r="C4" s="9" t="s">
        <v>77</v>
      </c>
      <c r="D4" s="15">
        <v>46157.0</v>
      </c>
      <c r="E4" s="15">
        <v>46158.0</v>
      </c>
      <c r="F4" s="11" t="s">
        <v>65</v>
      </c>
    </row>
    <row r="5" ht="22.5" customHeight="1">
      <c r="A5" s="7">
        <v>3.0</v>
      </c>
      <c r="B5" s="9" t="s">
        <v>94</v>
      </c>
      <c r="C5" s="9" t="s">
        <v>77</v>
      </c>
      <c r="D5" s="15">
        <v>46158.0</v>
      </c>
      <c r="E5" s="15">
        <v>46159.0</v>
      </c>
      <c r="F5" s="11" t="s">
        <v>65</v>
      </c>
    </row>
    <row r="6" ht="22.5" customHeight="1">
      <c r="A6" s="7">
        <v>4.0</v>
      </c>
      <c r="B6" s="9" t="s">
        <v>110</v>
      </c>
      <c r="C6" s="9" t="s">
        <v>112</v>
      </c>
      <c r="D6" s="15">
        <v>46160.0</v>
      </c>
      <c r="E6" s="15">
        <v>46162.0</v>
      </c>
      <c r="F6" s="11" t="s">
        <v>65</v>
      </c>
    </row>
    <row r="9" ht="22.5" customHeight="1">
      <c r="A9" s="19" t="s">
        <v>2</v>
      </c>
      <c r="B9" s="19" t="s">
        <v>12</v>
      </c>
      <c r="C9" s="19" t="s">
        <v>126</v>
      </c>
      <c r="D9" s="19" t="s">
        <v>22</v>
      </c>
      <c r="E9" s="19" t="s">
        <v>27</v>
      </c>
      <c r="F9" s="19" t="s">
        <v>11</v>
      </c>
    </row>
    <row r="10" ht="22.5" customHeight="1">
      <c r="A10" s="7">
        <v>1.0</v>
      </c>
      <c r="B10" s="9" t="s">
        <v>134</v>
      </c>
      <c r="C10" s="9" t="s">
        <v>137</v>
      </c>
      <c r="D10" s="15">
        <v>46163.0</v>
      </c>
      <c r="E10" s="15">
        <v>46164.0</v>
      </c>
      <c r="F10" s="11" t="s">
        <v>65</v>
      </c>
    </row>
    <row r="11" ht="22.5" customHeight="1">
      <c r="A11" s="7">
        <v>2.0</v>
      </c>
      <c r="B11" s="9" t="s">
        <v>145</v>
      </c>
      <c r="C11" s="9" t="s">
        <v>146</v>
      </c>
      <c r="D11" s="15">
        <v>46164.0</v>
      </c>
      <c r="E11" s="15">
        <v>46165.0</v>
      </c>
      <c r="F11" s="11" t="s">
        <v>65</v>
      </c>
    </row>
    <row r="12" ht="22.5" customHeight="1">
      <c r="A12" s="7">
        <v>3.0</v>
      </c>
      <c r="B12" s="9" t="s">
        <v>151</v>
      </c>
      <c r="C12" s="9" t="s">
        <v>47</v>
      </c>
      <c r="D12" s="15">
        <v>46165.0</v>
      </c>
      <c r="E12" s="15">
        <v>46166.0</v>
      </c>
      <c r="F12" s="11" t="s">
        <v>65</v>
      </c>
    </row>
    <row r="13" ht="22.5" customHeight="1">
      <c r="A13" s="7">
        <v>4.0</v>
      </c>
      <c r="B13" s="9" t="s">
        <v>155</v>
      </c>
      <c r="C13" s="9" t="s">
        <v>137</v>
      </c>
      <c r="D13" s="15">
        <v>46166.0</v>
      </c>
      <c r="E13" s="15">
        <v>46168.0</v>
      </c>
      <c r="F13" s="11" t="s">
        <v>65</v>
      </c>
    </row>
    <row r="14" ht="22.5" customHeight="1">
      <c r="A14" s="7">
        <v>5.0</v>
      </c>
      <c r="B14" s="9" t="s">
        <v>161</v>
      </c>
      <c r="C14" s="9" t="s">
        <v>162</v>
      </c>
      <c r="D14" s="15">
        <v>46168.0</v>
      </c>
      <c r="E14" s="15">
        <v>46169.0</v>
      </c>
      <c r="F14" s="11" t="s">
        <v>65</v>
      </c>
    </row>
    <row r="17" ht="22.5" customHeight="1">
      <c r="A17" s="4" t="s">
        <v>2</v>
      </c>
      <c r="B17" s="4" t="s">
        <v>12</v>
      </c>
      <c r="C17" s="4" t="s">
        <v>18</v>
      </c>
      <c r="D17" s="4" t="s">
        <v>22</v>
      </c>
      <c r="E17" s="4" t="s">
        <v>27</v>
      </c>
      <c r="F17" s="4" t="s">
        <v>11</v>
      </c>
    </row>
    <row r="18" ht="22.5" customHeight="1">
      <c r="A18" s="20">
        <v>1.0</v>
      </c>
      <c r="B18" s="20" t="s">
        <v>170</v>
      </c>
      <c r="C18" s="21" t="s">
        <v>171</v>
      </c>
      <c r="D18" s="22">
        <v>46170.0</v>
      </c>
      <c r="E18" s="22">
        <v>46170.0</v>
      </c>
      <c r="F18" s="11" t="s">
        <v>65</v>
      </c>
    </row>
    <row r="19" ht="22.5" customHeight="1">
      <c r="A19" s="20">
        <v>2.0</v>
      </c>
      <c r="B19" s="20" t="s">
        <v>173</v>
      </c>
      <c r="C19" s="21" t="s">
        <v>175</v>
      </c>
      <c r="D19" s="22">
        <v>46171.0</v>
      </c>
      <c r="E19" s="22">
        <v>46171.0</v>
      </c>
      <c r="F19" s="11" t="s">
        <v>65</v>
      </c>
    </row>
    <row r="20" ht="22.5" customHeight="1">
      <c r="A20" s="20">
        <v>3.0</v>
      </c>
      <c r="B20" s="20" t="s">
        <v>186</v>
      </c>
      <c r="C20" s="21" t="s">
        <v>188</v>
      </c>
      <c r="D20" s="22">
        <v>46171.0</v>
      </c>
      <c r="E20" s="22">
        <v>46171.0</v>
      </c>
      <c r="F20" s="11" t="s">
        <v>65</v>
      </c>
    </row>
    <row r="21" ht="22.5" customHeight="1">
      <c r="A21" s="20">
        <v>4.0</v>
      </c>
      <c r="B21" s="20" t="s">
        <v>200</v>
      </c>
      <c r="C21" s="21" t="s">
        <v>142</v>
      </c>
      <c r="D21" s="22">
        <v>46172.0</v>
      </c>
      <c r="E21" s="22">
        <v>46172.0</v>
      </c>
      <c r="F21" s="11" t="s">
        <v>65</v>
      </c>
    </row>
    <row r="22" ht="22.5" customHeight="1">
      <c r="A22" s="20">
        <v>5.0</v>
      </c>
      <c r="B22" s="20" t="s">
        <v>210</v>
      </c>
      <c r="C22" s="21" t="s">
        <v>212</v>
      </c>
      <c r="D22" s="22">
        <v>46172.0</v>
      </c>
      <c r="E22" s="22">
        <v>46172.0</v>
      </c>
      <c r="F22" s="11" t="s">
        <v>65</v>
      </c>
    </row>
    <row r="23" ht="22.5" customHeight="1">
      <c r="A23" s="20">
        <v>6.0</v>
      </c>
      <c r="B23" s="20" t="s">
        <v>217</v>
      </c>
      <c r="C23" s="21" t="s">
        <v>212</v>
      </c>
      <c r="D23" s="22">
        <v>46173.0</v>
      </c>
      <c r="E23" s="22">
        <v>46173.0</v>
      </c>
      <c r="F23" s="11" t="s">
        <v>65</v>
      </c>
    </row>
  </sheetData>
  <dataValidations>
    <dataValidation type="list" allowBlank="1" sqref="F3:F6 F18:F23">
      <formula1>"Completado,En progreso,En progreso (Retrasado)"</formula1>
    </dataValidation>
    <dataValidation type="custom" allowBlank="1" showDropDown="1" sqref="D3:E6 E10:E14 D18:E23">
      <formula1>OR(NOT(ISERROR(DATEVALUE(D3))), AND(ISNUMBER(D3), LEFT(CELL("format", D3))="D"))</formula1>
    </dataValidation>
    <dataValidation type="list" allowBlank="1" sqref="F10:F14">
      <formula1>"Completado,En progreso,En progreso (Retrasado)"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5"/>
    <col customWidth="1" min="4" max="43" width="2.63"/>
  </cols>
  <sheetData>
    <row r="1">
      <c r="A1" s="23" t="s">
        <v>172</v>
      </c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>
      <c r="A3" s="27" t="s">
        <v>176</v>
      </c>
      <c r="B3" s="28"/>
      <c r="C3" s="29"/>
      <c r="D3" s="30" t="s">
        <v>180</v>
      </c>
      <c r="E3" s="28"/>
      <c r="F3" s="28"/>
      <c r="G3" s="28"/>
      <c r="H3" s="28"/>
      <c r="I3" s="28"/>
      <c r="J3" s="28"/>
      <c r="K3" s="28"/>
      <c r="L3" s="28"/>
      <c r="M3" s="29"/>
      <c r="N3" s="32" t="s">
        <v>181</v>
      </c>
      <c r="O3" s="28"/>
      <c r="P3" s="28"/>
      <c r="Q3" s="28"/>
      <c r="R3" s="28"/>
      <c r="S3" s="28"/>
      <c r="T3" s="28"/>
      <c r="U3" s="28"/>
      <c r="V3" s="28"/>
      <c r="W3" s="29"/>
      <c r="X3" s="33" t="s">
        <v>184</v>
      </c>
      <c r="Y3" s="28"/>
      <c r="Z3" s="28"/>
      <c r="AA3" s="28"/>
      <c r="AB3" s="28"/>
      <c r="AC3" s="28"/>
      <c r="AD3" s="28"/>
      <c r="AE3" s="28"/>
      <c r="AF3" s="28"/>
      <c r="AG3" s="29"/>
      <c r="AH3" s="34" t="s">
        <v>187</v>
      </c>
      <c r="AI3" s="28"/>
      <c r="AJ3" s="28"/>
      <c r="AK3" s="28"/>
      <c r="AL3" s="28"/>
      <c r="AM3" s="28"/>
      <c r="AN3" s="28"/>
      <c r="AO3" s="28"/>
      <c r="AP3" s="28"/>
      <c r="AQ3" s="29"/>
    </row>
    <row r="4">
      <c r="A4" s="35" t="s">
        <v>189</v>
      </c>
      <c r="B4" s="28"/>
      <c r="C4" s="29"/>
      <c r="D4" s="36" t="s">
        <v>191</v>
      </c>
      <c r="I4" s="36" t="s">
        <v>192</v>
      </c>
      <c r="N4" s="37" t="s">
        <v>194</v>
      </c>
      <c r="S4" s="37" t="s">
        <v>195</v>
      </c>
      <c r="X4" s="38" t="s">
        <v>197</v>
      </c>
      <c r="AC4" s="38" t="s">
        <v>198</v>
      </c>
      <c r="AH4" s="39" t="s">
        <v>199</v>
      </c>
      <c r="AM4" s="40" t="s">
        <v>201</v>
      </c>
      <c r="AN4" s="41"/>
      <c r="AO4" s="41"/>
      <c r="AP4" s="41"/>
      <c r="AQ4" s="41"/>
    </row>
    <row r="5">
      <c r="A5" s="42" t="s">
        <v>202</v>
      </c>
      <c r="B5" s="28"/>
      <c r="C5" s="29"/>
      <c r="D5" s="43" t="s">
        <v>205</v>
      </c>
      <c r="E5" s="43" t="s">
        <v>206</v>
      </c>
      <c r="F5" s="43" t="s">
        <v>207</v>
      </c>
      <c r="G5" s="43" t="s">
        <v>208</v>
      </c>
      <c r="H5" s="43" t="s">
        <v>209</v>
      </c>
      <c r="I5" s="43" t="s">
        <v>205</v>
      </c>
      <c r="J5" s="43" t="s">
        <v>206</v>
      </c>
      <c r="K5" s="43" t="s">
        <v>207</v>
      </c>
      <c r="L5" s="43" t="s">
        <v>208</v>
      </c>
      <c r="M5" s="43" t="s">
        <v>209</v>
      </c>
      <c r="N5" s="44" t="s">
        <v>205</v>
      </c>
      <c r="O5" s="44" t="s">
        <v>206</v>
      </c>
      <c r="P5" s="44" t="s">
        <v>207</v>
      </c>
      <c r="Q5" s="44" t="s">
        <v>208</v>
      </c>
      <c r="R5" s="44" t="s">
        <v>209</v>
      </c>
      <c r="S5" s="44" t="s">
        <v>205</v>
      </c>
      <c r="T5" s="44" t="s">
        <v>206</v>
      </c>
      <c r="U5" s="44" t="s">
        <v>207</v>
      </c>
      <c r="V5" s="44" t="s">
        <v>208</v>
      </c>
      <c r="W5" s="44" t="s">
        <v>209</v>
      </c>
      <c r="X5" s="45" t="s">
        <v>205</v>
      </c>
      <c r="Y5" s="45" t="s">
        <v>206</v>
      </c>
      <c r="Z5" s="45" t="s">
        <v>207</v>
      </c>
      <c r="AA5" s="45" t="s">
        <v>208</v>
      </c>
      <c r="AB5" s="45" t="s">
        <v>209</v>
      </c>
      <c r="AC5" s="45" t="s">
        <v>205</v>
      </c>
      <c r="AD5" s="45" t="s">
        <v>206</v>
      </c>
      <c r="AE5" s="45" t="s">
        <v>207</v>
      </c>
      <c r="AF5" s="45" t="s">
        <v>208</v>
      </c>
      <c r="AG5" s="45" t="s">
        <v>209</v>
      </c>
      <c r="AH5" s="46" t="s">
        <v>205</v>
      </c>
      <c r="AI5" s="46" t="s">
        <v>206</v>
      </c>
      <c r="AJ5" s="46" t="s">
        <v>207</v>
      </c>
      <c r="AK5" s="46" t="s">
        <v>208</v>
      </c>
      <c r="AL5" s="46" t="s">
        <v>209</v>
      </c>
      <c r="AM5" s="46" t="s">
        <v>205</v>
      </c>
      <c r="AN5" s="46" t="s">
        <v>206</v>
      </c>
      <c r="AO5" s="46" t="s">
        <v>207</v>
      </c>
      <c r="AP5" s="46" t="s">
        <v>208</v>
      </c>
      <c r="AQ5" s="46" t="s">
        <v>209</v>
      </c>
    </row>
    <row r="6">
      <c r="A6" s="47" t="s">
        <v>23</v>
      </c>
      <c r="B6" s="48" t="s">
        <v>35</v>
      </c>
      <c r="C6" s="49" t="s">
        <v>214</v>
      </c>
      <c r="D6" s="50" t="s">
        <v>209</v>
      </c>
      <c r="E6" s="50" t="s">
        <v>209</v>
      </c>
      <c r="F6" s="50" t="s">
        <v>209</v>
      </c>
      <c r="G6" s="50" t="s">
        <v>209</v>
      </c>
      <c r="H6" s="50" t="s">
        <v>209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2"/>
    </row>
    <row r="7">
      <c r="A7" s="53" t="s">
        <v>53</v>
      </c>
      <c r="B7" s="48" t="s">
        <v>35</v>
      </c>
      <c r="C7" s="54" t="s">
        <v>218</v>
      </c>
      <c r="D7" s="55"/>
      <c r="E7" s="55"/>
      <c r="F7" s="55"/>
      <c r="G7" s="50" t="s">
        <v>209</v>
      </c>
      <c r="H7" s="50" t="s">
        <v>209</v>
      </c>
      <c r="I7" s="50" t="s">
        <v>209</v>
      </c>
      <c r="J7" s="50" t="s">
        <v>209</v>
      </c>
      <c r="K7" s="50" t="s">
        <v>209</v>
      </c>
      <c r="L7" s="50" t="s">
        <v>209</v>
      </c>
      <c r="M7" s="50" t="s">
        <v>209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6"/>
    </row>
    <row r="8">
      <c r="A8" s="57" t="s">
        <v>221</v>
      </c>
      <c r="B8" s="48" t="s">
        <v>35</v>
      </c>
      <c r="C8" s="58" t="s">
        <v>222</v>
      </c>
      <c r="D8" s="51"/>
      <c r="E8" s="51"/>
      <c r="F8" s="51"/>
      <c r="G8" s="51"/>
      <c r="H8" s="51"/>
      <c r="I8" s="50" t="s">
        <v>209</v>
      </c>
      <c r="J8" s="50" t="s">
        <v>209</v>
      </c>
      <c r="K8" s="50" t="s">
        <v>209</v>
      </c>
      <c r="L8" s="50" t="s">
        <v>209</v>
      </c>
      <c r="M8" s="50" t="s">
        <v>209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2"/>
    </row>
    <row r="9">
      <c r="A9" s="59" t="s">
        <v>225</v>
      </c>
      <c r="B9" s="48" t="s">
        <v>35</v>
      </c>
      <c r="C9" s="60" t="s">
        <v>226</v>
      </c>
      <c r="D9" s="61"/>
      <c r="E9" s="61"/>
      <c r="F9" s="61"/>
      <c r="G9" s="61"/>
      <c r="H9" s="61"/>
      <c r="I9" s="61"/>
      <c r="J9" s="61"/>
      <c r="K9" s="61"/>
      <c r="L9" s="61"/>
      <c r="M9" s="62" t="s">
        <v>227</v>
      </c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3"/>
    </row>
    <row r="10">
      <c r="A10" s="57" t="s">
        <v>228</v>
      </c>
      <c r="B10" s="64" t="s">
        <v>89</v>
      </c>
      <c r="C10" s="58" t="s">
        <v>229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65" t="s">
        <v>209</v>
      </c>
      <c r="O10" s="65" t="s">
        <v>209</v>
      </c>
      <c r="P10" s="65" t="s">
        <v>209</v>
      </c>
      <c r="Q10" s="65" t="s">
        <v>209</v>
      </c>
      <c r="R10" s="65" t="s">
        <v>209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2"/>
    </row>
    <row r="11">
      <c r="A11" s="53" t="s">
        <v>231</v>
      </c>
      <c r="B11" s="64" t="s">
        <v>89</v>
      </c>
      <c r="C11" s="54" t="s">
        <v>232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65" t="s">
        <v>209</v>
      </c>
      <c r="R11" s="65" t="s">
        <v>209</v>
      </c>
      <c r="S11" s="65" t="s">
        <v>209</v>
      </c>
      <c r="T11" s="65" t="s">
        <v>209</v>
      </c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6"/>
    </row>
    <row r="12">
      <c r="A12" s="57" t="s">
        <v>234</v>
      </c>
      <c r="B12" s="64" t="s">
        <v>89</v>
      </c>
      <c r="C12" s="58" t="s">
        <v>235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65" t="s">
        <v>209</v>
      </c>
      <c r="T12" s="65" t="s">
        <v>209</v>
      </c>
      <c r="U12" s="65" t="s">
        <v>209</v>
      </c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2"/>
    </row>
    <row r="13">
      <c r="A13" s="53" t="s">
        <v>237</v>
      </c>
      <c r="B13" s="64" t="s">
        <v>89</v>
      </c>
      <c r="C13" s="54" t="s">
        <v>238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65" t="s">
        <v>209</v>
      </c>
      <c r="T13" s="65" t="s">
        <v>209</v>
      </c>
      <c r="U13" s="65" t="s">
        <v>209</v>
      </c>
      <c r="V13" s="65" t="s">
        <v>209</v>
      </c>
      <c r="W13" s="65" t="s">
        <v>209</v>
      </c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6"/>
    </row>
    <row r="14">
      <c r="A14" s="57" t="s">
        <v>240</v>
      </c>
      <c r="B14" s="64" t="s">
        <v>89</v>
      </c>
      <c r="C14" s="58" t="s">
        <v>242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65" t="s">
        <v>209</v>
      </c>
      <c r="W14" s="65" t="s">
        <v>209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2"/>
    </row>
    <row r="15">
      <c r="A15" s="59" t="s">
        <v>245</v>
      </c>
      <c r="B15" s="64" t="s">
        <v>89</v>
      </c>
      <c r="C15" s="60" t="s">
        <v>246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2" t="s">
        <v>227</v>
      </c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3"/>
    </row>
    <row r="16">
      <c r="A16" s="57" t="s">
        <v>248</v>
      </c>
      <c r="B16" s="66" t="s">
        <v>136</v>
      </c>
      <c r="C16" s="58" t="s">
        <v>249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67" t="s">
        <v>209</v>
      </c>
      <c r="Y16" s="67" t="s">
        <v>209</v>
      </c>
      <c r="Z16" s="67" t="s">
        <v>209</v>
      </c>
      <c r="AA16" s="67" t="s">
        <v>209</v>
      </c>
      <c r="AB16" s="67" t="s">
        <v>209</v>
      </c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2"/>
    </row>
    <row r="17">
      <c r="A17" s="53" t="s">
        <v>253</v>
      </c>
      <c r="B17" s="66" t="s">
        <v>136</v>
      </c>
      <c r="C17" s="54" t="s">
        <v>254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67" t="s">
        <v>209</v>
      </c>
      <c r="AA17" s="67" t="s">
        <v>209</v>
      </c>
      <c r="AB17" s="67" t="s">
        <v>209</v>
      </c>
      <c r="AC17" s="67" t="s">
        <v>209</v>
      </c>
      <c r="AD17" s="67" t="s">
        <v>209</v>
      </c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6"/>
    </row>
    <row r="18">
      <c r="A18" s="57" t="s">
        <v>255</v>
      </c>
      <c r="B18" s="66" t="s">
        <v>136</v>
      </c>
      <c r="C18" s="58" t="s">
        <v>256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67" t="s">
        <v>209</v>
      </c>
      <c r="AC18" s="67" t="s">
        <v>209</v>
      </c>
      <c r="AD18" s="67" t="s">
        <v>209</v>
      </c>
      <c r="AE18" s="67" t="s">
        <v>209</v>
      </c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2"/>
    </row>
    <row r="19">
      <c r="A19" s="53" t="s">
        <v>260</v>
      </c>
      <c r="B19" s="66" t="s">
        <v>136</v>
      </c>
      <c r="C19" s="54" t="s">
        <v>261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67" t="s">
        <v>209</v>
      </c>
      <c r="AE19" s="67" t="s">
        <v>209</v>
      </c>
      <c r="AF19" s="67" t="s">
        <v>209</v>
      </c>
      <c r="AG19" s="67" t="s">
        <v>209</v>
      </c>
      <c r="AH19" s="55"/>
      <c r="AI19" s="55"/>
      <c r="AJ19" s="55"/>
      <c r="AK19" s="55"/>
      <c r="AL19" s="55"/>
      <c r="AM19" s="55"/>
      <c r="AN19" s="55"/>
      <c r="AO19" s="55"/>
      <c r="AP19" s="55"/>
      <c r="AQ19" s="56"/>
    </row>
    <row r="20">
      <c r="A20" s="59" t="s">
        <v>262</v>
      </c>
      <c r="B20" s="66" t="s">
        <v>136</v>
      </c>
      <c r="C20" s="60" t="s">
        <v>263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2" t="s">
        <v>227</v>
      </c>
      <c r="AH20" s="61"/>
      <c r="AI20" s="61"/>
      <c r="AJ20" s="61"/>
      <c r="AK20" s="61"/>
      <c r="AL20" s="61"/>
      <c r="AM20" s="61"/>
      <c r="AN20" s="61"/>
      <c r="AO20" s="61"/>
      <c r="AP20" s="61"/>
      <c r="AQ20" s="63"/>
    </row>
    <row r="21">
      <c r="A21" s="53" t="s">
        <v>264</v>
      </c>
      <c r="B21" s="68" t="s">
        <v>160</v>
      </c>
      <c r="C21" s="54" t="s">
        <v>265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69" t="s">
        <v>209</v>
      </c>
      <c r="AI21" s="69" t="s">
        <v>209</v>
      </c>
      <c r="AJ21" s="69" t="s">
        <v>209</v>
      </c>
      <c r="AK21" s="69" t="s">
        <v>209</v>
      </c>
      <c r="AL21" s="55"/>
      <c r="AM21" s="55"/>
      <c r="AN21" s="55"/>
      <c r="AO21" s="55"/>
      <c r="AP21" s="55"/>
      <c r="AQ21" s="56"/>
    </row>
    <row r="22">
      <c r="A22" s="57" t="s">
        <v>266</v>
      </c>
      <c r="B22" s="68" t="s">
        <v>160</v>
      </c>
      <c r="C22" s="58" t="s">
        <v>267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69" t="s">
        <v>209</v>
      </c>
      <c r="AK22" s="69" t="s">
        <v>209</v>
      </c>
      <c r="AL22" s="69" t="s">
        <v>209</v>
      </c>
      <c r="AM22" s="69" t="s">
        <v>209</v>
      </c>
      <c r="AN22" s="69" t="s">
        <v>209</v>
      </c>
      <c r="AO22" s="69" t="s">
        <v>209</v>
      </c>
      <c r="AP22" s="51"/>
      <c r="AQ22" s="52"/>
    </row>
    <row r="23">
      <c r="A23" s="53" t="s">
        <v>268</v>
      </c>
      <c r="B23" s="68" t="s">
        <v>160</v>
      </c>
      <c r="C23" s="54" t="s">
        <v>269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69" t="s">
        <v>209</v>
      </c>
      <c r="AO23" s="69" t="s">
        <v>209</v>
      </c>
      <c r="AP23" s="69" t="s">
        <v>209</v>
      </c>
      <c r="AQ23" s="56"/>
    </row>
    <row r="24">
      <c r="A24" s="57" t="s">
        <v>270</v>
      </c>
      <c r="B24" s="68" t="s">
        <v>160</v>
      </c>
      <c r="C24" s="58" t="s">
        <v>271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69" t="s">
        <v>209</v>
      </c>
      <c r="AP24" s="69" t="s">
        <v>209</v>
      </c>
      <c r="AQ24" s="52"/>
    </row>
    <row r="25">
      <c r="A25" s="53" t="s">
        <v>272</v>
      </c>
      <c r="B25" s="68" t="s">
        <v>160</v>
      </c>
      <c r="C25" s="54" t="s">
        <v>273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69" t="s">
        <v>209</v>
      </c>
      <c r="AP25" s="69" t="s">
        <v>209</v>
      </c>
      <c r="AQ25" s="70" t="s">
        <v>209</v>
      </c>
    </row>
    <row r="26">
      <c r="A26" s="59" t="s">
        <v>274</v>
      </c>
      <c r="B26" s="68" t="s">
        <v>160</v>
      </c>
      <c r="C26" s="60" t="s">
        <v>275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71" t="s">
        <v>227</v>
      </c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</row>
    <row r="29">
      <c r="A29" s="72" t="s">
        <v>276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</row>
    <row r="30">
      <c r="A30" s="73"/>
      <c r="B30" s="74" t="s">
        <v>277</v>
      </c>
      <c r="C30" s="7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</row>
    <row r="31">
      <c r="A31" s="76"/>
      <c r="B31" s="74" t="s">
        <v>278</v>
      </c>
      <c r="C31" s="7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</row>
    <row r="32">
      <c r="A32" s="77"/>
      <c r="B32" s="74" t="s">
        <v>279</v>
      </c>
      <c r="C32" s="7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</row>
    <row r="33">
      <c r="A33" s="78"/>
      <c r="B33" s="74" t="s">
        <v>280</v>
      </c>
      <c r="C33" s="7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>
      <c r="A34" s="79"/>
      <c r="B34" s="74" t="s">
        <v>281</v>
      </c>
      <c r="C34" s="7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</row>
    <row r="36">
      <c r="A36" s="72" t="s">
        <v>282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</row>
    <row r="37">
      <c r="A37" s="80" t="s">
        <v>35</v>
      </c>
      <c r="B37" s="74" t="s">
        <v>283</v>
      </c>
      <c r="C37" s="7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>
      <c r="A38" s="81" t="s">
        <v>89</v>
      </c>
      <c r="B38" s="74" t="s">
        <v>284</v>
      </c>
      <c r="C38" s="7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>
      <c r="A39" s="82" t="s">
        <v>136</v>
      </c>
      <c r="B39" s="74" t="s">
        <v>285</v>
      </c>
      <c r="C39" s="7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</row>
    <row r="40">
      <c r="A40" s="83" t="s">
        <v>160</v>
      </c>
      <c r="B40" s="74" t="s">
        <v>286</v>
      </c>
      <c r="C40" s="75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1">
      <c r="A41" s="84" t="s">
        <v>287</v>
      </c>
      <c r="B41" s="85" t="s">
        <v>288</v>
      </c>
      <c r="C41" s="75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</row>
  </sheetData>
  <mergeCells count="28">
    <mergeCell ref="N4:R4"/>
    <mergeCell ref="S4:W4"/>
    <mergeCell ref="X4:AB4"/>
    <mergeCell ref="AC4:AG4"/>
    <mergeCell ref="AH4:AL4"/>
    <mergeCell ref="AM4:AQ4"/>
    <mergeCell ref="A1:AQ1"/>
    <mergeCell ref="A3:C3"/>
    <mergeCell ref="D3:M3"/>
    <mergeCell ref="N3:W3"/>
    <mergeCell ref="X3:AG3"/>
    <mergeCell ref="AH3:AQ3"/>
    <mergeCell ref="A4:C4"/>
    <mergeCell ref="B33:C33"/>
    <mergeCell ref="B34:C34"/>
    <mergeCell ref="A36:C36"/>
    <mergeCell ref="B37:C37"/>
    <mergeCell ref="B38:C38"/>
    <mergeCell ref="B39:C39"/>
    <mergeCell ref="B40:C40"/>
    <mergeCell ref="B41:C41"/>
    <mergeCell ref="D4:H4"/>
    <mergeCell ref="I4:M4"/>
    <mergeCell ref="A5:C5"/>
    <mergeCell ref="A29:C29"/>
    <mergeCell ref="B30:C30"/>
    <mergeCell ref="B31:C31"/>
    <mergeCell ref="B32:C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.5"/>
    <col customWidth="1" min="3" max="3" width="22.0"/>
    <col customWidth="1" min="4" max="4" width="61.13"/>
    <col customWidth="1" min="5" max="5" width="51.25"/>
    <col customWidth="1" min="6" max="6" width="14.5"/>
  </cols>
  <sheetData>
    <row r="1">
      <c r="A1" s="25"/>
      <c r="B1" s="25"/>
      <c r="C1" s="25"/>
      <c r="D1" s="25"/>
      <c r="E1" s="25"/>
      <c r="F1" s="25"/>
      <c r="G1" s="25"/>
    </row>
    <row r="2" ht="22.5" customHeight="1">
      <c r="A2" s="26" t="s">
        <v>6</v>
      </c>
      <c r="B2" s="26" t="s">
        <v>0</v>
      </c>
      <c r="C2" s="26" t="s">
        <v>174</v>
      </c>
      <c r="D2" s="26" t="s">
        <v>177</v>
      </c>
      <c r="E2" s="26" t="s">
        <v>178</v>
      </c>
      <c r="F2" s="26" t="s">
        <v>3</v>
      </c>
      <c r="G2" s="26" t="s">
        <v>179</v>
      </c>
    </row>
    <row r="3" ht="22.5" customHeight="1">
      <c r="A3" s="31" t="s">
        <v>33</v>
      </c>
      <c r="B3" s="31" t="s">
        <v>23</v>
      </c>
      <c r="C3" s="31" t="s">
        <v>182</v>
      </c>
      <c r="D3" s="31" t="s">
        <v>183</v>
      </c>
      <c r="E3" s="31" t="s">
        <v>185</v>
      </c>
      <c r="F3" s="31" t="s">
        <v>29</v>
      </c>
      <c r="G3" s="31" t="s">
        <v>35</v>
      </c>
    </row>
    <row r="4" ht="22.5" customHeight="1">
      <c r="A4" s="31" t="s">
        <v>33</v>
      </c>
      <c r="B4" s="31" t="s">
        <v>53</v>
      </c>
      <c r="C4" s="31" t="s">
        <v>190</v>
      </c>
      <c r="D4" s="31" t="s">
        <v>193</v>
      </c>
      <c r="E4" s="31" t="s">
        <v>196</v>
      </c>
      <c r="F4" s="31" t="s">
        <v>29</v>
      </c>
      <c r="G4" s="31" t="s">
        <v>35</v>
      </c>
    </row>
    <row r="5" ht="22.5" customHeight="1">
      <c r="A5" s="31" t="s">
        <v>88</v>
      </c>
      <c r="B5" s="31" t="s">
        <v>81</v>
      </c>
      <c r="C5" s="31" t="s">
        <v>83</v>
      </c>
      <c r="D5" s="31" t="s">
        <v>203</v>
      </c>
      <c r="E5" s="31" t="s">
        <v>204</v>
      </c>
      <c r="F5" s="31" t="s">
        <v>29</v>
      </c>
      <c r="G5" s="31" t="s">
        <v>89</v>
      </c>
    </row>
    <row r="6" ht="22.5" customHeight="1">
      <c r="A6" s="31" t="s">
        <v>88</v>
      </c>
      <c r="B6" s="31" t="s">
        <v>101</v>
      </c>
      <c r="C6" s="31" t="s">
        <v>103</v>
      </c>
      <c r="D6" s="31" t="s">
        <v>211</v>
      </c>
      <c r="E6" s="31" t="s">
        <v>213</v>
      </c>
      <c r="F6" s="31" t="s">
        <v>105</v>
      </c>
      <c r="G6" s="31" t="s">
        <v>89</v>
      </c>
    </row>
    <row r="7" ht="22.5" customHeight="1">
      <c r="A7" s="31" t="s">
        <v>88</v>
      </c>
      <c r="B7" s="31" t="s">
        <v>121</v>
      </c>
      <c r="C7" s="31" t="s">
        <v>122</v>
      </c>
      <c r="D7" s="31" t="s">
        <v>215</v>
      </c>
      <c r="E7" s="31" t="s">
        <v>216</v>
      </c>
      <c r="F7" s="31" t="s">
        <v>105</v>
      </c>
      <c r="G7" s="31" t="s">
        <v>89</v>
      </c>
    </row>
    <row r="8" ht="22.5" customHeight="1">
      <c r="A8" s="31" t="s">
        <v>135</v>
      </c>
      <c r="B8" s="31" t="s">
        <v>130</v>
      </c>
      <c r="C8" s="31" t="s">
        <v>132</v>
      </c>
      <c r="D8" s="31" t="s">
        <v>219</v>
      </c>
      <c r="E8" s="31" t="s">
        <v>220</v>
      </c>
      <c r="F8" s="31" t="s">
        <v>105</v>
      </c>
      <c r="G8" s="31" t="s">
        <v>136</v>
      </c>
    </row>
    <row r="9" ht="22.5" customHeight="1">
      <c r="A9" s="31" t="s">
        <v>135</v>
      </c>
      <c r="B9" s="31" t="s">
        <v>143</v>
      </c>
      <c r="C9" s="31" t="s">
        <v>144</v>
      </c>
      <c r="D9" s="31" t="s">
        <v>223</v>
      </c>
      <c r="E9" s="31" t="s">
        <v>224</v>
      </c>
      <c r="F9" s="31" t="s">
        <v>105</v>
      </c>
      <c r="G9" s="31" t="s">
        <v>136</v>
      </c>
    </row>
    <row r="10" ht="22.5" customHeight="1">
      <c r="A10" s="31" t="s">
        <v>135</v>
      </c>
      <c r="B10" s="31" t="s">
        <v>148</v>
      </c>
      <c r="C10" s="31" t="s">
        <v>149</v>
      </c>
      <c r="D10" s="31" t="s">
        <v>230</v>
      </c>
      <c r="E10" s="31" t="s">
        <v>233</v>
      </c>
      <c r="F10" s="31" t="s">
        <v>150</v>
      </c>
      <c r="G10" s="31" t="s">
        <v>136</v>
      </c>
    </row>
    <row r="11" ht="22.5" customHeight="1">
      <c r="A11" s="31" t="s">
        <v>135</v>
      </c>
      <c r="B11" s="31" t="s">
        <v>153</v>
      </c>
      <c r="C11" s="31" t="s">
        <v>154</v>
      </c>
      <c r="D11" s="31" t="s">
        <v>236</v>
      </c>
      <c r="E11" s="31" t="s">
        <v>239</v>
      </c>
      <c r="F11" s="31" t="s">
        <v>150</v>
      </c>
      <c r="G11" s="31" t="s">
        <v>136</v>
      </c>
    </row>
    <row r="12" ht="22.5" customHeight="1">
      <c r="A12" s="31" t="s">
        <v>241</v>
      </c>
      <c r="B12" s="31" t="s">
        <v>157</v>
      </c>
      <c r="C12" s="31" t="s">
        <v>243</v>
      </c>
      <c r="D12" s="31" t="s">
        <v>244</v>
      </c>
      <c r="E12" s="31" t="s">
        <v>247</v>
      </c>
      <c r="F12" s="31" t="s">
        <v>105</v>
      </c>
      <c r="G12" s="31" t="s">
        <v>160</v>
      </c>
    </row>
    <row r="13" ht="22.5" customHeight="1">
      <c r="A13" s="31" t="s">
        <v>241</v>
      </c>
      <c r="B13" s="31" t="s">
        <v>164</v>
      </c>
      <c r="C13" s="31" t="s">
        <v>250</v>
      </c>
      <c r="D13" s="31" t="s">
        <v>251</v>
      </c>
      <c r="E13" s="31" t="s">
        <v>252</v>
      </c>
      <c r="F13" s="31" t="s">
        <v>105</v>
      </c>
      <c r="G13" s="31" t="s">
        <v>160</v>
      </c>
    </row>
    <row r="14" ht="22.5" customHeight="1">
      <c r="A14" s="31" t="s">
        <v>241</v>
      </c>
      <c r="B14" s="31" t="s">
        <v>167</v>
      </c>
      <c r="C14" s="31" t="s">
        <v>257</v>
      </c>
      <c r="D14" s="31" t="s">
        <v>258</v>
      </c>
      <c r="E14" s="31" t="s">
        <v>259</v>
      </c>
      <c r="F14" s="31" t="s">
        <v>105</v>
      </c>
      <c r="G14" s="31" t="s">
        <v>160</v>
      </c>
    </row>
    <row r="15">
      <c r="A15" s="25"/>
      <c r="B15" s="25"/>
      <c r="C15" s="25"/>
      <c r="D15" s="25"/>
      <c r="E15" s="25"/>
      <c r="F15" s="25"/>
      <c r="G15" s="25"/>
    </row>
    <row r="16">
      <c r="A16" s="25"/>
      <c r="B16" s="25"/>
      <c r="C16" s="25"/>
      <c r="D16" s="25"/>
      <c r="E16" s="25"/>
      <c r="F16" s="25"/>
      <c r="G16" s="25"/>
    </row>
  </sheetData>
  <drawing r:id="rId1"/>
  <tableParts count="1">
    <tablePart r:id="rId3"/>
  </tableParts>
</worksheet>
</file>